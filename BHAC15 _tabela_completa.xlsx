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ly\Documents\Uesc\2023.01\IC\Astrofísica - LATO\"/>
    </mc:Choice>
  </mc:AlternateContent>
  <xr:revisionPtr revIDLastSave="0" documentId="13_ncr:1_{C3B7137F-92E5-44C8-BFF4-78166AA93C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HAC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2" i="1"/>
  <c r="AA427" i="1" s="1"/>
  <c r="Z427" i="1"/>
  <c r="G42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2" i="1"/>
  <c r="S3" i="1"/>
  <c r="S4" i="1"/>
  <c r="S5" i="1"/>
  <c r="W5" i="1" s="1"/>
  <c r="Y5" i="1" s="1"/>
  <c r="S6" i="1"/>
  <c r="S7" i="1"/>
  <c r="W7" i="1" s="1"/>
  <c r="Y7" i="1" s="1"/>
  <c r="S8" i="1"/>
  <c r="S9" i="1"/>
  <c r="S10" i="1"/>
  <c r="S11" i="1"/>
  <c r="S12" i="1"/>
  <c r="S13" i="1"/>
  <c r="W13" i="1" s="1"/>
  <c r="Y13" i="1" s="1"/>
  <c r="S14" i="1"/>
  <c r="S15" i="1"/>
  <c r="W15" i="1" s="1"/>
  <c r="Y15" i="1" s="1"/>
  <c r="S16" i="1"/>
  <c r="S17" i="1"/>
  <c r="S18" i="1"/>
  <c r="S19" i="1"/>
  <c r="S20" i="1"/>
  <c r="S21" i="1"/>
  <c r="W21" i="1" s="1"/>
  <c r="Y21" i="1" s="1"/>
  <c r="S22" i="1"/>
  <c r="S23" i="1"/>
  <c r="W23" i="1" s="1"/>
  <c r="Y23" i="1" s="1"/>
  <c r="S24" i="1"/>
  <c r="S25" i="1"/>
  <c r="S26" i="1"/>
  <c r="S27" i="1"/>
  <c r="S28" i="1"/>
  <c r="S29" i="1"/>
  <c r="W29" i="1" s="1"/>
  <c r="Y29" i="1" s="1"/>
  <c r="S30" i="1"/>
  <c r="S31" i="1"/>
  <c r="W31" i="1" s="1"/>
  <c r="Y31" i="1" s="1"/>
  <c r="S32" i="1"/>
  <c r="S33" i="1"/>
  <c r="S34" i="1"/>
  <c r="S35" i="1"/>
  <c r="S36" i="1"/>
  <c r="S37" i="1"/>
  <c r="W37" i="1" s="1"/>
  <c r="Y37" i="1" s="1"/>
  <c r="S38" i="1"/>
  <c r="S39" i="1"/>
  <c r="W39" i="1" s="1"/>
  <c r="Y39" i="1" s="1"/>
  <c r="S40" i="1"/>
  <c r="S41" i="1"/>
  <c r="S42" i="1"/>
  <c r="S43" i="1"/>
  <c r="S44" i="1"/>
  <c r="S45" i="1"/>
  <c r="W45" i="1" s="1"/>
  <c r="Y45" i="1" s="1"/>
  <c r="S46" i="1"/>
  <c r="S47" i="1"/>
  <c r="W47" i="1" s="1"/>
  <c r="Y47" i="1" s="1"/>
  <c r="S48" i="1"/>
  <c r="S49" i="1"/>
  <c r="S50" i="1"/>
  <c r="S51" i="1"/>
  <c r="S52" i="1"/>
  <c r="S53" i="1"/>
  <c r="W53" i="1" s="1"/>
  <c r="Y53" i="1" s="1"/>
  <c r="S54" i="1"/>
  <c r="S55" i="1"/>
  <c r="W55" i="1" s="1"/>
  <c r="Y55" i="1" s="1"/>
  <c r="S56" i="1"/>
  <c r="S57" i="1"/>
  <c r="S58" i="1"/>
  <c r="S59" i="1"/>
  <c r="S60" i="1"/>
  <c r="S61" i="1"/>
  <c r="W61" i="1" s="1"/>
  <c r="Y61" i="1" s="1"/>
  <c r="S62" i="1"/>
  <c r="S63" i="1"/>
  <c r="W63" i="1" s="1"/>
  <c r="Y63" i="1" s="1"/>
  <c r="S64" i="1"/>
  <c r="S65" i="1"/>
  <c r="S66" i="1"/>
  <c r="S67" i="1"/>
  <c r="S68" i="1"/>
  <c r="S69" i="1"/>
  <c r="W69" i="1" s="1"/>
  <c r="Y69" i="1" s="1"/>
  <c r="S70" i="1"/>
  <c r="S71" i="1"/>
  <c r="W71" i="1" s="1"/>
  <c r="Y71" i="1" s="1"/>
  <c r="S72" i="1"/>
  <c r="S73" i="1"/>
  <c r="S74" i="1"/>
  <c r="S75" i="1"/>
  <c r="S76" i="1"/>
  <c r="S77" i="1"/>
  <c r="W77" i="1" s="1"/>
  <c r="Y77" i="1" s="1"/>
  <c r="S78" i="1"/>
  <c r="S79" i="1"/>
  <c r="W79" i="1" s="1"/>
  <c r="Y79" i="1" s="1"/>
  <c r="S80" i="1"/>
  <c r="S81" i="1"/>
  <c r="S82" i="1"/>
  <c r="S83" i="1"/>
  <c r="S84" i="1"/>
  <c r="S85" i="1"/>
  <c r="W85" i="1" s="1"/>
  <c r="Y85" i="1" s="1"/>
  <c r="S86" i="1"/>
  <c r="S87" i="1"/>
  <c r="W87" i="1" s="1"/>
  <c r="Y87" i="1" s="1"/>
  <c r="S88" i="1"/>
  <c r="S89" i="1"/>
  <c r="S90" i="1"/>
  <c r="S91" i="1"/>
  <c r="S92" i="1"/>
  <c r="S93" i="1"/>
  <c r="W93" i="1" s="1"/>
  <c r="Y93" i="1" s="1"/>
  <c r="S94" i="1"/>
  <c r="S95" i="1"/>
  <c r="W95" i="1" s="1"/>
  <c r="Y95" i="1" s="1"/>
  <c r="S96" i="1"/>
  <c r="S97" i="1"/>
  <c r="S98" i="1"/>
  <c r="S99" i="1"/>
  <c r="S100" i="1"/>
  <c r="S101" i="1"/>
  <c r="W101" i="1" s="1"/>
  <c r="Y101" i="1" s="1"/>
  <c r="S102" i="1"/>
  <c r="S103" i="1"/>
  <c r="W103" i="1" s="1"/>
  <c r="Y103" i="1" s="1"/>
  <c r="S104" i="1"/>
  <c r="S105" i="1"/>
  <c r="S106" i="1"/>
  <c r="S107" i="1"/>
  <c r="S108" i="1"/>
  <c r="S109" i="1"/>
  <c r="W109" i="1" s="1"/>
  <c r="Y109" i="1" s="1"/>
  <c r="S110" i="1"/>
  <c r="S111" i="1"/>
  <c r="W111" i="1" s="1"/>
  <c r="Y111" i="1" s="1"/>
  <c r="S112" i="1"/>
  <c r="S113" i="1"/>
  <c r="S114" i="1"/>
  <c r="S115" i="1"/>
  <c r="S116" i="1"/>
  <c r="S117" i="1"/>
  <c r="W117" i="1" s="1"/>
  <c r="Y117" i="1" s="1"/>
  <c r="S118" i="1"/>
  <c r="S119" i="1"/>
  <c r="W119" i="1" s="1"/>
  <c r="Y119" i="1" s="1"/>
  <c r="S120" i="1"/>
  <c r="S121" i="1"/>
  <c r="S122" i="1"/>
  <c r="S123" i="1"/>
  <c r="S124" i="1"/>
  <c r="S125" i="1"/>
  <c r="W125" i="1" s="1"/>
  <c r="Y125" i="1" s="1"/>
  <c r="S126" i="1"/>
  <c r="S127" i="1"/>
  <c r="W127" i="1" s="1"/>
  <c r="Y127" i="1" s="1"/>
  <c r="S128" i="1"/>
  <c r="S129" i="1"/>
  <c r="S130" i="1"/>
  <c r="S131" i="1"/>
  <c r="S132" i="1"/>
  <c r="S133" i="1"/>
  <c r="W133" i="1" s="1"/>
  <c r="Y133" i="1" s="1"/>
  <c r="S134" i="1"/>
  <c r="S135" i="1"/>
  <c r="W135" i="1" s="1"/>
  <c r="Y135" i="1" s="1"/>
  <c r="S136" i="1"/>
  <c r="S137" i="1"/>
  <c r="S138" i="1"/>
  <c r="S139" i="1"/>
  <c r="S140" i="1"/>
  <c r="S141" i="1"/>
  <c r="W141" i="1" s="1"/>
  <c r="Y141" i="1" s="1"/>
  <c r="S142" i="1"/>
  <c r="S143" i="1"/>
  <c r="W143" i="1" s="1"/>
  <c r="Y143" i="1" s="1"/>
  <c r="S144" i="1"/>
  <c r="S145" i="1"/>
  <c r="S146" i="1"/>
  <c r="S147" i="1"/>
  <c r="S148" i="1"/>
  <c r="S149" i="1"/>
  <c r="W149" i="1" s="1"/>
  <c r="Y149" i="1" s="1"/>
  <c r="S150" i="1"/>
  <c r="S151" i="1"/>
  <c r="W151" i="1" s="1"/>
  <c r="Y151" i="1" s="1"/>
  <c r="S152" i="1"/>
  <c r="S153" i="1"/>
  <c r="S154" i="1"/>
  <c r="S155" i="1"/>
  <c r="S156" i="1"/>
  <c r="S157" i="1"/>
  <c r="W157" i="1" s="1"/>
  <c r="Y157" i="1" s="1"/>
  <c r="S158" i="1"/>
  <c r="S159" i="1"/>
  <c r="W159" i="1" s="1"/>
  <c r="Y159" i="1" s="1"/>
  <c r="S160" i="1"/>
  <c r="S161" i="1"/>
  <c r="S162" i="1"/>
  <c r="S163" i="1"/>
  <c r="S164" i="1"/>
  <c r="S165" i="1"/>
  <c r="W165" i="1" s="1"/>
  <c r="Y165" i="1" s="1"/>
  <c r="S166" i="1"/>
  <c r="S167" i="1"/>
  <c r="W167" i="1" s="1"/>
  <c r="Y167" i="1" s="1"/>
  <c r="S168" i="1"/>
  <c r="S169" i="1"/>
  <c r="S170" i="1"/>
  <c r="S171" i="1"/>
  <c r="S172" i="1"/>
  <c r="S173" i="1"/>
  <c r="W173" i="1" s="1"/>
  <c r="Y173" i="1" s="1"/>
  <c r="S174" i="1"/>
  <c r="S175" i="1"/>
  <c r="W175" i="1" s="1"/>
  <c r="Y175" i="1" s="1"/>
  <c r="S176" i="1"/>
  <c r="S177" i="1"/>
  <c r="S178" i="1"/>
  <c r="S179" i="1"/>
  <c r="S180" i="1"/>
  <c r="S181" i="1"/>
  <c r="W181" i="1" s="1"/>
  <c r="Y181" i="1" s="1"/>
  <c r="S182" i="1"/>
  <c r="S183" i="1"/>
  <c r="W183" i="1" s="1"/>
  <c r="Y183" i="1" s="1"/>
  <c r="S184" i="1"/>
  <c r="S185" i="1"/>
  <c r="S186" i="1"/>
  <c r="S187" i="1"/>
  <c r="S188" i="1"/>
  <c r="S189" i="1"/>
  <c r="W189" i="1" s="1"/>
  <c r="Y189" i="1" s="1"/>
  <c r="S190" i="1"/>
  <c r="S191" i="1"/>
  <c r="W191" i="1" s="1"/>
  <c r="Y191" i="1" s="1"/>
  <c r="S192" i="1"/>
  <c r="S193" i="1"/>
  <c r="S194" i="1"/>
  <c r="S195" i="1"/>
  <c r="S196" i="1"/>
  <c r="S197" i="1"/>
  <c r="W197" i="1" s="1"/>
  <c r="Y197" i="1" s="1"/>
  <c r="S198" i="1"/>
  <c r="S199" i="1"/>
  <c r="W199" i="1" s="1"/>
  <c r="Y199" i="1" s="1"/>
  <c r="S200" i="1"/>
  <c r="S201" i="1"/>
  <c r="S202" i="1"/>
  <c r="S203" i="1"/>
  <c r="S204" i="1"/>
  <c r="S205" i="1"/>
  <c r="W205" i="1" s="1"/>
  <c r="Y205" i="1" s="1"/>
  <c r="S206" i="1"/>
  <c r="S207" i="1"/>
  <c r="W207" i="1" s="1"/>
  <c r="Y207" i="1" s="1"/>
  <c r="S208" i="1"/>
  <c r="S209" i="1"/>
  <c r="S210" i="1"/>
  <c r="S211" i="1"/>
  <c r="S212" i="1"/>
  <c r="S213" i="1"/>
  <c r="W213" i="1" s="1"/>
  <c r="Y213" i="1" s="1"/>
  <c r="S214" i="1"/>
  <c r="S215" i="1"/>
  <c r="W215" i="1" s="1"/>
  <c r="Y215" i="1" s="1"/>
  <c r="S216" i="1"/>
  <c r="S217" i="1"/>
  <c r="S218" i="1"/>
  <c r="S219" i="1"/>
  <c r="S220" i="1"/>
  <c r="S221" i="1"/>
  <c r="W221" i="1" s="1"/>
  <c r="Y221" i="1" s="1"/>
  <c r="S222" i="1"/>
  <c r="S223" i="1"/>
  <c r="W223" i="1" s="1"/>
  <c r="Y223" i="1" s="1"/>
  <c r="S224" i="1"/>
  <c r="S225" i="1"/>
  <c r="S226" i="1"/>
  <c r="S227" i="1"/>
  <c r="S228" i="1"/>
  <c r="S229" i="1"/>
  <c r="W229" i="1" s="1"/>
  <c r="Y229" i="1" s="1"/>
  <c r="S230" i="1"/>
  <c r="S231" i="1"/>
  <c r="W231" i="1" s="1"/>
  <c r="Y231" i="1" s="1"/>
  <c r="S232" i="1"/>
  <c r="S233" i="1"/>
  <c r="S234" i="1"/>
  <c r="S235" i="1"/>
  <c r="S236" i="1"/>
  <c r="S237" i="1"/>
  <c r="W237" i="1" s="1"/>
  <c r="Y237" i="1" s="1"/>
  <c r="S238" i="1"/>
  <c r="S239" i="1"/>
  <c r="W239" i="1" s="1"/>
  <c r="Y239" i="1" s="1"/>
  <c r="S240" i="1"/>
  <c r="S241" i="1"/>
  <c r="S242" i="1"/>
  <c r="S243" i="1"/>
  <c r="S244" i="1"/>
  <c r="S245" i="1"/>
  <c r="W245" i="1" s="1"/>
  <c r="Y245" i="1" s="1"/>
  <c r="S246" i="1"/>
  <c r="S247" i="1"/>
  <c r="W247" i="1" s="1"/>
  <c r="Y247" i="1" s="1"/>
  <c r="S248" i="1"/>
  <c r="S249" i="1"/>
  <c r="S250" i="1"/>
  <c r="S251" i="1"/>
  <c r="S252" i="1"/>
  <c r="S253" i="1"/>
  <c r="W253" i="1" s="1"/>
  <c r="Y253" i="1" s="1"/>
  <c r="S254" i="1"/>
  <c r="S255" i="1"/>
  <c r="W255" i="1" s="1"/>
  <c r="Y255" i="1" s="1"/>
  <c r="S256" i="1"/>
  <c r="S257" i="1"/>
  <c r="S258" i="1"/>
  <c r="S259" i="1"/>
  <c r="S260" i="1"/>
  <c r="S261" i="1"/>
  <c r="W261" i="1" s="1"/>
  <c r="Y261" i="1" s="1"/>
  <c r="S262" i="1"/>
  <c r="S263" i="1"/>
  <c r="W263" i="1" s="1"/>
  <c r="Y263" i="1" s="1"/>
  <c r="S264" i="1"/>
  <c r="S265" i="1"/>
  <c r="S266" i="1"/>
  <c r="S267" i="1"/>
  <c r="S268" i="1"/>
  <c r="S269" i="1"/>
  <c r="W269" i="1" s="1"/>
  <c r="Y269" i="1" s="1"/>
  <c r="S270" i="1"/>
  <c r="S271" i="1"/>
  <c r="W271" i="1" s="1"/>
  <c r="Y271" i="1" s="1"/>
  <c r="S272" i="1"/>
  <c r="S273" i="1"/>
  <c r="S274" i="1"/>
  <c r="S275" i="1"/>
  <c r="S276" i="1"/>
  <c r="S277" i="1"/>
  <c r="W277" i="1" s="1"/>
  <c r="Y277" i="1" s="1"/>
  <c r="S278" i="1"/>
  <c r="S279" i="1"/>
  <c r="W279" i="1" s="1"/>
  <c r="Y279" i="1" s="1"/>
  <c r="S280" i="1"/>
  <c r="S281" i="1"/>
  <c r="S282" i="1"/>
  <c r="S283" i="1"/>
  <c r="S284" i="1"/>
  <c r="S285" i="1"/>
  <c r="W285" i="1" s="1"/>
  <c r="Y285" i="1" s="1"/>
  <c r="S286" i="1"/>
  <c r="S287" i="1"/>
  <c r="W287" i="1" s="1"/>
  <c r="Y287" i="1" s="1"/>
  <c r="S288" i="1"/>
  <c r="S289" i="1"/>
  <c r="S290" i="1"/>
  <c r="S291" i="1"/>
  <c r="S292" i="1"/>
  <c r="S293" i="1"/>
  <c r="W293" i="1" s="1"/>
  <c r="Y293" i="1" s="1"/>
  <c r="S294" i="1"/>
  <c r="S295" i="1"/>
  <c r="W295" i="1" s="1"/>
  <c r="Y295" i="1" s="1"/>
  <c r="S296" i="1"/>
  <c r="S297" i="1"/>
  <c r="S298" i="1"/>
  <c r="S299" i="1"/>
  <c r="S300" i="1"/>
  <c r="S301" i="1"/>
  <c r="W301" i="1" s="1"/>
  <c r="Y301" i="1" s="1"/>
  <c r="S302" i="1"/>
  <c r="S303" i="1"/>
  <c r="W303" i="1" s="1"/>
  <c r="Y303" i="1" s="1"/>
  <c r="S304" i="1"/>
  <c r="S305" i="1"/>
  <c r="S306" i="1"/>
  <c r="S307" i="1"/>
  <c r="S308" i="1"/>
  <c r="S309" i="1"/>
  <c r="W309" i="1" s="1"/>
  <c r="Y309" i="1" s="1"/>
  <c r="S310" i="1"/>
  <c r="S311" i="1"/>
  <c r="W311" i="1" s="1"/>
  <c r="Y311" i="1" s="1"/>
  <c r="S312" i="1"/>
  <c r="S313" i="1"/>
  <c r="S314" i="1"/>
  <c r="S315" i="1"/>
  <c r="S316" i="1"/>
  <c r="S317" i="1"/>
  <c r="W317" i="1" s="1"/>
  <c r="Y317" i="1" s="1"/>
  <c r="S318" i="1"/>
  <c r="S319" i="1"/>
  <c r="W319" i="1" s="1"/>
  <c r="Y319" i="1" s="1"/>
  <c r="S320" i="1"/>
  <c r="S321" i="1"/>
  <c r="S322" i="1"/>
  <c r="S323" i="1"/>
  <c r="S324" i="1"/>
  <c r="S325" i="1"/>
  <c r="W325" i="1" s="1"/>
  <c r="Y325" i="1" s="1"/>
  <c r="S326" i="1"/>
  <c r="S327" i="1"/>
  <c r="W327" i="1" s="1"/>
  <c r="Y327" i="1" s="1"/>
  <c r="S328" i="1"/>
  <c r="S329" i="1"/>
  <c r="S330" i="1"/>
  <c r="S331" i="1"/>
  <c r="S332" i="1"/>
  <c r="S333" i="1"/>
  <c r="W333" i="1" s="1"/>
  <c r="Y333" i="1" s="1"/>
  <c r="S334" i="1"/>
  <c r="S335" i="1"/>
  <c r="W335" i="1" s="1"/>
  <c r="Y335" i="1" s="1"/>
  <c r="S336" i="1"/>
  <c r="S337" i="1"/>
  <c r="S338" i="1"/>
  <c r="S339" i="1"/>
  <c r="S340" i="1"/>
  <c r="S341" i="1"/>
  <c r="W341" i="1" s="1"/>
  <c r="Y341" i="1" s="1"/>
  <c r="S342" i="1"/>
  <c r="S343" i="1"/>
  <c r="W343" i="1" s="1"/>
  <c r="Y343" i="1" s="1"/>
  <c r="S344" i="1"/>
  <c r="S345" i="1"/>
  <c r="S346" i="1"/>
  <c r="S347" i="1"/>
  <c r="S348" i="1"/>
  <c r="S349" i="1"/>
  <c r="W349" i="1" s="1"/>
  <c r="Y349" i="1" s="1"/>
  <c r="S350" i="1"/>
  <c r="S351" i="1"/>
  <c r="W351" i="1" s="1"/>
  <c r="Y351" i="1" s="1"/>
  <c r="S352" i="1"/>
  <c r="S353" i="1"/>
  <c r="S354" i="1"/>
  <c r="S355" i="1"/>
  <c r="S356" i="1"/>
  <c r="S357" i="1"/>
  <c r="W357" i="1" s="1"/>
  <c r="Y357" i="1" s="1"/>
  <c r="S358" i="1"/>
  <c r="S359" i="1"/>
  <c r="W359" i="1" s="1"/>
  <c r="Y359" i="1" s="1"/>
  <c r="S360" i="1"/>
  <c r="S361" i="1"/>
  <c r="S362" i="1"/>
  <c r="S363" i="1"/>
  <c r="S364" i="1"/>
  <c r="S365" i="1"/>
  <c r="W365" i="1" s="1"/>
  <c r="Y365" i="1" s="1"/>
  <c r="S366" i="1"/>
  <c r="S367" i="1"/>
  <c r="W367" i="1" s="1"/>
  <c r="Y367" i="1" s="1"/>
  <c r="S368" i="1"/>
  <c r="S369" i="1"/>
  <c r="S370" i="1"/>
  <c r="S371" i="1"/>
  <c r="S372" i="1"/>
  <c r="S373" i="1"/>
  <c r="W373" i="1" s="1"/>
  <c r="Y373" i="1" s="1"/>
  <c r="S374" i="1"/>
  <c r="S375" i="1"/>
  <c r="W375" i="1" s="1"/>
  <c r="Y375" i="1" s="1"/>
  <c r="S376" i="1"/>
  <c r="S377" i="1"/>
  <c r="S378" i="1"/>
  <c r="S379" i="1"/>
  <c r="S380" i="1"/>
  <c r="S381" i="1"/>
  <c r="W381" i="1" s="1"/>
  <c r="Y381" i="1" s="1"/>
  <c r="S382" i="1"/>
  <c r="S383" i="1"/>
  <c r="W383" i="1" s="1"/>
  <c r="Y383" i="1" s="1"/>
  <c r="S384" i="1"/>
  <c r="S385" i="1"/>
  <c r="S386" i="1"/>
  <c r="S387" i="1"/>
  <c r="S388" i="1"/>
  <c r="S389" i="1"/>
  <c r="W389" i="1" s="1"/>
  <c r="Y389" i="1" s="1"/>
  <c r="S390" i="1"/>
  <c r="S391" i="1"/>
  <c r="W391" i="1" s="1"/>
  <c r="Y391" i="1" s="1"/>
  <c r="S392" i="1"/>
  <c r="S393" i="1"/>
  <c r="S394" i="1"/>
  <c r="S395" i="1"/>
  <c r="S396" i="1"/>
  <c r="S397" i="1"/>
  <c r="W397" i="1" s="1"/>
  <c r="Y397" i="1" s="1"/>
  <c r="S398" i="1"/>
  <c r="S399" i="1"/>
  <c r="W399" i="1" s="1"/>
  <c r="Y399" i="1" s="1"/>
  <c r="S400" i="1"/>
  <c r="S401" i="1"/>
  <c r="S402" i="1"/>
  <c r="S403" i="1"/>
  <c r="S404" i="1"/>
  <c r="S405" i="1"/>
  <c r="W405" i="1" s="1"/>
  <c r="Y405" i="1" s="1"/>
  <c r="S406" i="1"/>
  <c r="S407" i="1"/>
  <c r="W407" i="1" s="1"/>
  <c r="Y407" i="1" s="1"/>
  <c r="S408" i="1"/>
  <c r="S409" i="1"/>
  <c r="S410" i="1"/>
  <c r="S411" i="1"/>
  <c r="S412" i="1"/>
  <c r="S413" i="1"/>
  <c r="W413" i="1" s="1"/>
  <c r="Y413" i="1" s="1"/>
  <c r="S414" i="1"/>
  <c r="S415" i="1"/>
  <c r="W415" i="1" s="1"/>
  <c r="Y415" i="1" s="1"/>
  <c r="S416" i="1"/>
  <c r="S417" i="1"/>
  <c r="S418" i="1"/>
  <c r="S419" i="1"/>
  <c r="S420" i="1"/>
  <c r="S421" i="1"/>
  <c r="W421" i="1" s="1"/>
  <c r="Y421" i="1" s="1"/>
  <c r="S422" i="1"/>
  <c r="S423" i="1"/>
  <c r="W423" i="1" s="1"/>
  <c r="Y423" i="1" s="1"/>
  <c r="S424" i="1"/>
  <c r="S425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P32" i="1"/>
  <c r="U32" i="1" s="1"/>
  <c r="P208" i="1"/>
  <c r="U208" i="1" s="1"/>
  <c r="O20" i="1"/>
  <c r="P20" i="1" s="1"/>
  <c r="U20" i="1" s="1"/>
  <c r="O21" i="1"/>
  <c r="P21" i="1" s="1"/>
  <c r="U21" i="1" s="1"/>
  <c r="O22" i="1"/>
  <c r="P22" i="1" s="1"/>
  <c r="U22" i="1" s="1"/>
  <c r="O23" i="1"/>
  <c r="P23" i="1" s="1"/>
  <c r="U23" i="1" s="1"/>
  <c r="O24" i="1"/>
  <c r="P24" i="1" s="1"/>
  <c r="U24" i="1" s="1"/>
  <c r="O25" i="1"/>
  <c r="P25" i="1" s="1"/>
  <c r="U25" i="1" s="1"/>
  <c r="O26" i="1"/>
  <c r="P26" i="1" s="1"/>
  <c r="U26" i="1" s="1"/>
  <c r="O27" i="1"/>
  <c r="P27" i="1" s="1"/>
  <c r="U27" i="1" s="1"/>
  <c r="O28" i="1"/>
  <c r="P28" i="1" s="1"/>
  <c r="U28" i="1" s="1"/>
  <c r="O29" i="1"/>
  <c r="P29" i="1" s="1"/>
  <c r="U29" i="1" s="1"/>
  <c r="O30" i="1"/>
  <c r="P30" i="1" s="1"/>
  <c r="U30" i="1" s="1"/>
  <c r="O31" i="1"/>
  <c r="P31" i="1" s="1"/>
  <c r="U31" i="1" s="1"/>
  <c r="O32" i="1"/>
  <c r="O33" i="1"/>
  <c r="P33" i="1" s="1"/>
  <c r="U33" i="1" s="1"/>
  <c r="O34" i="1"/>
  <c r="P34" i="1" s="1"/>
  <c r="U34" i="1" s="1"/>
  <c r="O35" i="1"/>
  <c r="P35" i="1" s="1"/>
  <c r="U35" i="1" s="1"/>
  <c r="O36" i="1"/>
  <c r="P36" i="1" s="1"/>
  <c r="U36" i="1" s="1"/>
  <c r="O37" i="1"/>
  <c r="P37" i="1" s="1"/>
  <c r="U37" i="1" s="1"/>
  <c r="O38" i="1"/>
  <c r="P38" i="1" s="1"/>
  <c r="U38" i="1" s="1"/>
  <c r="O39" i="1"/>
  <c r="P39" i="1" s="1"/>
  <c r="U39" i="1" s="1"/>
  <c r="O40" i="1"/>
  <c r="P40" i="1" s="1"/>
  <c r="U40" i="1" s="1"/>
  <c r="O41" i="1"/>
  <c r="P41" i="1" s="1"/>
  <c r="U41" i="1" s="1"/>
  <c r="O42" i="1"/>
  <c r="P42" i="1" s="1"/>
  <c r="U42" i="1" s="1"/>
  <c r="O43" i="1"/>
  <c r="P43" i="1" s="1"/>
  <c r="U43" i="1" s="1"/>
  <c r="O44" i="1"/>
  <c r="P44" i="1" s="1"/>
  <c r="U44" i="1" s="1"/>
  <c r="O45" i="1"/>
  <c r="P45" i="1" s="1"/>
  <c r="U45" i="1" s="1"/>
  <c r="O46" i="1"/>
  <c r="P46" i="1" s="1"/>
  <c r="U46" i="1" s="1"/>
  <c r="O47" i="1"/>
  <c r="P47" i="1" s="1"/>
  <c r="U47" i="1" s="1"/>
  <c r="O48" i="1"/>
  <c r="P48" i="1" s="1"/>
  <c r="U48" i="1" s="1"/>
  <c r="O49" i="1"/>
  <c r="P49" i="1" s="1"/>
  <c r="U49" i="1" s="1"/>
  <c r="O50" i="1"/>
  <c r="P50" i="1" s="1"/>
  <c r="U50" i="1" s="1"/>
  <c r="O51" i="1"/>
  <c r="P51" i="1" s="1"/>
  <c r="U51" i="1" s="1"/>
  <c r="O52" i="1"/>
  <c r="P52" i="1" s="1"/>
  <c r="U52" i="1" s="1"/>
  <c r="O53" i="1"/>
  <c r="P53" i="1" s="1"/>
  <c r="U53" i="1" s="1"/>
  <c r="O54" i="1"/>
  <c r="P54" i="1" s="1"/>
  <c r="U54" i="1" s="1"/>
  <c r="O55" i="1"/>
  <c r="P55" i="1" s="1"/>
  <c r="U55" i="1" s="1"/>
  <c r="O56" i="1"/>
  <c r="P56" i="1" s="1"/>
  <c r="U56" i="1" s="1"/>
  <c r="O57" i="1"/>
  <c r="P57" i="1" s="1"/>
  <c r="U57" i="1" s="1"/>
  <c r="O58" i="1"/>
  <c r="P58" i="1" s="1"/>
  <c r="U58" i="1" s="1"/>
  <c r="O59" i="1"/>
  <c r="P59" i="1" s="1"/>
  <c r="U59" i="1" s="1"/>
  <c r="O60" i="1"/>
  <c r="P60" i="1" s="1"/>
  <c r="U60" i="1" s="1"/>
  <c r="O61" i="1"/>
  <c r="P61" i="1" s="1"/>
  <c r="U61" i="1" s="1"/>
  <c r="O62" i="1"/>
  <c r="P62" i="1" s="1"/>
  <c r="U62" i="1" s="1"/>
  <c r="O63" i="1"/>
  <c r="P63" i="1" s="1"/>
  <c r="U63" i="1" s="1"/>
  <c r="O64" i="1"/>
  <c r="P64" i="1" s="1"/>
  <c r="U64" i="1" s="1"/>
  <c r="O65" i="1"/>
  <c r="P65" i="1" s="1"/>
  <c r="U65" i="1" s="1"/>
  <c r="O66" i="1"/>
  <c r="P66" i="1" s="1"/>
  <c r="U66" i="1" s="1"/>
  <c r="O67" i="1"/>
  <c r="P67" i="1" s="1"/>
  <c r="U67" i="1" s="1"/>
  <c r="O68" i="1"/>
  <c r="P68" i="1" s="1"/>
  <c r="U68" i="1" s="1"/>
  <c r="O69" i="1"/>
  <c r="P69" i="1" s="1"/>
  <c r="U69" i="1" s="1"/>
  <c r="O70" i="1"/>
  <c r="P70" i="1" s="1"/>
  <c r="U70" i="1" s="1"/>
  <c r="O71" i="1"/>
  <c r="P71" i="1" s="1"/>
  <c r="U71" i="1" s="1"/>
  <c r="O72" i="1"/>
  <c r="P72" i="1" s="1"/>
  <c r="U72" i="1" s="1"/>
  <c r="O73" i="1"/>
  <c r="P73" i="1" s="1"/>
  <c r="U73" i="1" s="1"/>
  <c r="O74" i="1"/>
  <c r="P74" i="1" s="1"/>
  <c r="U74" i="1" s="1"/>
  <c r="O75" i="1"/>
  <c r="P75" i="1" s="1"/>
  <c r="U75" i="1" s="1"/>
  <c r="O76" i="1"/>
  <c r="P76" i="1" s="1"/>
  <c r="U76" i="1" s="1"/>
  <c r="O77" i="1"/>
  <c r="P77" i="1" s="1"/>
  <c r="U77" i="1" s="1"/>
  <c r="O78" i="1"/>
  <c r="P78" i="1" s="1"/>
  <c r="U78" i="1" s="1"/>
  <c r="O79" i="1"/>
  <c r="P79" i="1" s="1"/>
  <c r="U79" i="1" s="1"/>
  <c r="O80" i="1"/>
  <c r="P80" i="1" s="1"/>
  <c r="U80" i="1" s="1"/>
  <c r="O81" i="1"/>
  <c r="P81" i="1" s="1"/>
  <c r="U81" i="1" s="1"/>
  <c r="O82" i="1"/>
  <c r="P82" i="1" s="1"/>
  <c r="U82" i="1" s="1"/>
  <c r="O83" i="1"/>
  <c r="P83" i="1" s="1"/>
  <c r="U83" i="1" s="1"/>
  <c r="O84" i="1"/>
  <c r="P84" i="1" s="1"/>
  <c r="U84" i="1" s="1"/>
  <c r="O85" i="1"/>
  <c r="P85" i="1" s="1"/>
  <c r="U85" i="1" s="1"/>
  <c r="O86" i="1"/>
  <c r="P86" i="1" s="1"/>
  <c r="U86" i="1" s="1"/>
  <c r="O87" i="1"/>
  <c r="P87" i="1" s="1"/>
  <c r="U87" i="1" s="1"/>
  <c r="O88" i="1"/>
  <c r="P88" i="1" s="1"/>
  <c r="U88" i="1" s="1"/>
  <c r="O89" i="1"/>
  <c r="P89" i="1" s="1"/>
  <c r="U89" i="1" s="1"/>
  <c r="O90" i="1"/>
  <c r="P90" i="1" s="1"/>
  <c r="U90" i="1" s="1"/>
  <c r="O91" i="1"/>
  <c r="P91" i="1" s="1"/>
  <c r="U91" i="1" s="1"/>
  <c r="O92" i="1"/>
  <c r="P92" i="1" s="1"/>
  <c r="U92" i="1" s="1"/>
  <c r="O93" i="1"/>
  <c r="P93" i="1" s="1"/>
  <c r="U93" i="1" s="1"/>
  <c r="O94" i="1"/>
  <c r="P94" i="1" s="1"/>
  <c r="U94" i="1" s="1"/>
  <c r="O95" i="1"/>
  <c r="P95" i="1" s="1"/>
  <c r="U95" i="1" s="1"/>
  <c r="O96" i="1"/>
  <c r="P96" i="1" s="1"/>
  <c r="U96" i="1" s="1"/>
  <c r="O97" i="1"/>
  <c r="P97" i="1" s="1"/>
  <c r="U97" i="1" s="1"/>
  <c r="O98" i="1"/>
  <c r="P98" i="1" s="1"/>
  <c r="U98" i="1" s="1"/>
  <c r="O99" i="1"/>
  <c r="P99" i="1" s="1"/>
  <c r="U99" i="1" s="1"/>
  <c r="O100" i="1"/>
  <c r="P100" i="1" s="1"/>
  <c r="U100" i="1" s="1"/>
  <c r="O101" i="1"/>
  <c r="P101" i="1" s="1"/>
  <c r="U101" i="1" s="1"/>
  <c r="O102" i="1"/>
  <c r="P102" i="1" s="1"/>
  <c r="U102" i="1" s="1"/>
  <c r="O103" i="1"/>
  <c r="P103" i="1" s="1"/>
  <c r="U103" i="1" s="1"/>
  <c r="O104" i="1"/>
  <c r="P104" i="1" s="1"/>
  <c r="U104" i="1" s="1"/>
  <c r="O105" i="1"/>
  <c r="P105" i="1" s="1"/>
  <c r="U105" i="1" s="1"/>
  <c r="O106" i="1"/>
  <c r="P106" i="1" s="1"/>
  <c r="U106" i="1" s="1"/>
  <c r="O107" i="1"/>
  <c r="P107" i="1" s="1"/>
  <c r="U107" i="1" s="1"/>
  <c r="O108" i="1"/>
  <c r="P108" i="1" s="1"/>
  <c r="U108" i="1" s="1"/>
  <c r="O109" i="1"/>
  <c r="P109" i="1" s="1"/>
  <c r="U109" i="1" s="1"/>
  <c r="O110" i="1"/>
  <c r="P110" i="1" s="1"/>
  <c r="U110" i="1" s="1"/>
  <c r="O111" i="1"/>
  <c r="P111" i="1" s="1"/>
  <c r="U111" i="1" s="1"/>
  <c r="O112" i="1"/>
  <c r="P112" i="1" s="1"/>
  <c r="U112" i="1" s="1"/>
  <c r="O113" i="1"/>
  <c r="P113" i="1" s="1"/>
  <c r="U113" i="1" s="1"/>
  <c r="O114" i="1"/>
  <c r="P114" i="1" s="1"/>
  <c r="U114" i="1" s="1"/>
  <c r="O115" i="1"/>
  <c r="P115" i="1" s="1"/>
  <c r="U115" i="1" s="1"/>
  <c r="O116" i="1"/>
  <c r="P116" i="1" s="1"/>
  <c r="U116" i="1" s="1"/>
  <c r="O117" i="1"/>
  <c r="P117" i="1" s="1"/>
  <c r="U117" i="1" s="1"/>
  <c r="O118" i="1"/>
  <c r="P118" i="1" s="1"/>
  <c r="U118" i="1" s="1"/>
  <c r="O119" i="1"/>
  <c r="P119" i="1" s="1"/>
  <c r="U119" i="1" s="1"/>
  <c r="O120" i="1"/>
  <c r="P120" i="1" s="1"/>
  <c r="U120" i="1" s="1"/>
  <c r="O121" i="1"/>
  <c r="P121" i="1" s="1"/>
  <c r="U121" i="1" s="1"/>
  <c r="O122" i="1"/>
  <c r="P122" i="1" s="1"/>
  <c r="U122" i="1" s="1"/>
  <c r="O123" i="1"/>
  <c r="P123" i="1" s="1"/>
  <c r="U123" i="1" s="1"/>
  <c r="O124" i="1"/>
  <c r="P124" i="1" s="1"/>
  <c r="U124" i="1" s="1"/>
  <c r="O125" i="1"/>
  <c r="P125" i="1" s="1"/>
  <c r="U125" i="1" s="1"/>
  <c r="O126" i="1"/>
  <c r="P126" i="1" s="1"/>
  <c r="U126" i="1" s="1"/>
  <c r="O127" i="1"/>
  <c r="P127" i="1" s="1"/>
  <c r="U127" i="1" s="1"/>
  <c r="O128" i="1"/>
  <c r="P128" i="1" s="1"/>
  <c r="U128" i="1" s="1"/>
  <c r="O129" i="1"/>
  <c r="P129" i="1" s="1"/>
  <c r="U129" i="1" s="1"/>
  <c r="O130" i="1"/>
  <c r="P130" i="1" s="1"/>
  <c r="U130" i="1" s="1"/>
  <c r="O131" i="1"/>
  <c r="P131" i="1" s="1"/>
  <c r="U131" i="1" s="1"/>
  <c r="O132" i="1"/>
  <c r="P132" i="1" s="1"/>
  <c r="U132" i="1" s="1"/>
  <c r="O133" i="1"/>
  <c r="P133" i="1" s="1"/>
  <c r="U133" i="1" s="1"/>
  <c r="O134" i="1"/>
  <c r="P134" i="1" s="1"/>
  <c r="U134" i="1" s="1"/>
  <c r="O135" i="1"/>
  <c r="P135" i="1" s="1"/>
  <c r="U135" i="1" s="1"/>
  <c r="O136" i="1"/>
  <c r="P136" i="1" s="1"/>
  <c r="U136" i="1" s="1"/>
  <c r="O137" i="1"/>
  <c r="P137" i="1" s="1"/>
  <c r="U137" i="1" s="1"/>
  <c r="O138" i="1"/>
  <c r="P138" i="1" s="1"/>
  <c r="U138" i="1" s="1"/>
  <c r="O139" i="1"/>
  <c r="P139" i="1" s="1"/>
  <c r="U139" i="1" s="1"/>
  <c r="O140" i="1"/>
  <c r="P140" i="1" s="1"/>
  <c r="U140" i="1" s="1"/>
  <c r="O141" i="1"/>
  <c r="P141" i="1" s="1"/>
  <c r="U141" i="1" s="1"/>
  <c r="O142" i="1"/>
  <c r="P142" i="1" s="1"/>
  <c r="U142" i="1" s="1"/>
  <c r="O143" i="1"/>
  <c r="P143" i="1" s="1"/>
  <c r="U143" i="1" s="1"/>
  <c r="O144" i="1"/>
  <c r="P144" i="1" s="1"/>
  <c r="U144" i="1" s="1"/>
  <c r="O145" i="1"/>
  <c r="P145" i="1" s="1"/>
  <c r="U145" i="1" s="1"/>
  <c r="O146" i="1"/>
  <c r="P146" i="1" s="1"/>
  <c r="U146" i="1" s="1"/>
  <c r="O147" i="1"/>
  <c r="P147" i="1" s="1"/>
  <c r="U147" i="1" s="1"/>
  <c r="O148" i="1"/>
  <c r="P148" i="1" s="1"/>
  <c r="U148" i="1" s="1"/>
  <c r="O149" i="1"/>
  <c r="P149" i="1" s="1"/>
  <c r="U149" i="1" s="1"/>
  <c r="O150" i="1"/>
  <c r="P150" i="1" s="1"/>
  <c r="U150" i="1" s="1"/>
  <c r="O151" i="1"/>
  <c r="P151" i="1" s="1"/>
  <c r="U151" i="1" s="1"/>
  <c r="O152" i="1"/>
  <c r="P152" i="1" s="1"/>
  <c r="U152" i="1" s="1"/>
  <c r="O153" i="1"/>
  <c r="P153" i="1" s="1"/>
  <c r="U153" i="1" s="1"/>
  <c r="O154" i="1"/>
  <c r="P154" i="1" s="1"/>
  <c r="U154" i="1" s="1"/>
  <c r="O155" i="1"/>
  <c r="P155" i="1" s="1"/>
  <c r="U155" i="1" s="1"/>
  <c r="O156" i="1"/>
  <c r="P156" i="1" s="1"/>
  <c r="U156" i="1" s="1"/>
  <c r="O157" i="1"/>
  <c r="P157" i="1" s="1"/>
  <c r="U157" i="1" s="1"/>
  <c r="O158" i="1"/>
  <c r="P158" i="1" s="1"/>
  <c r="U158" i="1" s="1"/>
  <c r="O159" i="1"/>
  <c r="P159" i="1" s="1"/>
  <c r="U159" i="1" s="1"/>
  <c r="O160" i="1"/>
  <c r="P160" i="1" s="1"/>
  <c r="U160" i="1" s="1"/>
  <c r="O161" i="1"/>
  <c r="P161" i="1" s="1"/>
  <c r="U161" i="1" s="1"/>
  <c r="O162" i="1"/>
  <c r="P162" i="1" s="1"/>
  <c r="U162" i="1" s="1"/>
  <c r="O163" i="1"/>
  <c r="P163" i="1" s="1"/>
  <c r="U163" i="1" s="1"/>
  <c r="O164" i="1"/>
  <c r="P164" i="1" s="1"/>
  <c r="U164" i="1" s="1"/>
  <c r="O165" i="1"/>
  <c r="P165" i="1" s="1"/>
  <c r="U165" i="1" s="1"/>
  <c r="O166" i="1"/>
  <c r="P166" i="1" s="1"/>
  <c r="U166" i="1" s="1"/>
  <c r="O167" i="1"/>
  <c r="P167" i="1" s="1"/>
  <c r="U167" i="1" s="1"/>
  <c r="O168" i="1"/>
  <c r="P168" i="1" s="1"/>
  <c r="U168" i="1" s="1"/>
  <c r="O169" i="1"/>
  <c r="P169" i="1" s="1"/>
  <c r="U169" i="1" s="1"/>
  <c r="O170" i="1"/>
  <c r="P170" i="1" s="1"/>
  <c r="U170" i="1" s="1"/>
  <c r="O171" i="1"/>
  <c r="P171" i="1" s="1"/>
  <c r="U171" i="1" s="1"/>
  <c r="O172" i="1"/>
  <c r="P172" i="1" s="1"/>
  <c r="U172" i="1" s="1"/>
  <c r="O173" i="1"/>
  <c r="P173" i="1" s="1"/>
  <c r="U173" i="1" s="1"/>
  <c r="O174" i="1"/>
  <c r="P174" i="1" s="1"/>
  <c r="U174" i="1" s="1"/>
  <c r="O175" i="1"/>
  <c r="P175" i="1" s="1"/>
  <c r="U175" i="1" s="1"/>
  <c r="O176" i="1"/>
  <c r="P176" i="1" s="1"/>
  <c r="U176" i="1" s="1"/>
  <c r="O177" i="1"/>
  <c r="P177" i="1" s="1"/>
  <c r="U177" i="1" s="1"/>
  <c r="O178" i="1"/>
  <c r="P178" i="1" s="1"/>
  <c r="U178" i="1" s="1"/>
  <c r="O179" i="1"/>
  <c r="P179" i="1" s="1"/>
  <c r="U179" i="1" s="1"/>
  <c r="O180" i="1"/>
  <c r="P180" i="1" s="1"/>
  <c r="U180" i="1" s="1"/>
  <c r="O181" i="1"/>
  <c r="P181" i="1" s="1"/>
  <c r="U181" i="1" s="1"/>
  <c r="O182" i="1"/>
  <c r="P182" i="1" s="1"/>
  <c r="U182" i="1" s="1"/>
  <c r="O183" i="1"/>
  <c r="P183" i="1" s="1"/>
  <c r="U183" i="1" s="1"/>
  <c r="O184" i="1"/>
  <c r="P184" i="1" s="1"/>
  <c r="U184" i="1" s="1"/>
  <c r="O185" i="1"/>
  <c r="P185" i="1" s="1"/>
  <c r="U185" i="1" s="1"/>
  <c r="O186" i="1"/>
  <c r="P186" i="1" s="1"/>
  <c r="U186" i="1" s="1"/>
  <c r="O187" i="1"/>
  <c r="P187" i="1" s="1"/>
  <c r="U187" i="1" s="1"/>
  <c r="O188" i="1"/>
  <c r="P188" i="1" s="1"/>
  <c r="U188" i="1" s="1"/>
  <c r="O189" i="1"/>
  <c r="P189" i="1" s="1"/>
  <c r="U189" i="1" s="1"/>
  <c r="O190" i="1"/>
  <c r="P190" i="1" s="1"/>
  <c r="U190" i="1" s="1"/>
  <c r="O191" i="1"/>
  <c r="P191" i="1" s="1"/>
  <c r="U191" i="1" s="1"/>
  <c r="O192" i="1"/>
  <c r="P192" i="1" s="1"/>
  <c r="U192" i="1" s="1"/>
  <c r="O193" i="1"/>
  <c r="P193" i="1" s="1"/>
  <c r="U193" i="1" s="1"/>
  <c r="O194" i="1"/>
  <c r="P194" i="1" s="1"/>
  <c r="U194" i="1" s="1"/>
  <c r="O195" i="1"/>
  <c r="P195" i="1" s="1"/>
  <c r="U195" i="1" s="1"/>
  <c r="O196" i="1"/>
  <c r="P196" i="1" s="1"/>
  <c r="U196" i="1" s="1"/>
  <c r="O197" i="1"/>
  <c r="P197" i="1" s="1"/>
  <c r="U197" i="1" s="1"/>
  <c r="O198" i="1"/>
  <c r="P198" i="1" s="1"/>
  <c r="U198" i="1" s="1"/>
  <c r="O199" i="1"/>
  <c r="P199" i="1" s="1"/>
  <c r="U199" i="1" s="1"/>
  <c r="O200" i="1"/>
  <c r="P200" i="1" s="1"/>
  <c r="U200" i="1" s="1"/>
  <c r="O201" i="1"/>
  <c r="P201" i="1" s="1"/>
  <c r="U201" i="1" s="1"/>
  <c r="O202" i="1"/>
  <c r="P202" i="1" s="1"/>
  <c r="U202" i="1" s="1"/>
  <c r="O203" i="1"/>
  <c r="P203" i="1" s="1"/>
  <c r="U203" i="1" s="1"/>
  <c r="O204" i="1"/>
  <c r="P204" i="1" s="1"/>
  <c r="U204" i="1" s="1"/>
  <c r="O205" i="1"/>
  <c r="P205" i="1" s="1"/>
  <c r="U205" i="1" s="1"/>
  <c r="O206" i="1"/>
  <c r="P206" i="1" s="1"/>
  <c r="U206" i="1" s="1"/>
  <c r="O207" i="1"/>
  <c r="P207" i="1" s="1"/>
  <c r="U207" i="1" s="1"/>
  <c r="O208" i="1"/>
  <c r="O209" i="1"/>
  <c r="P209" i="1" s="1"/>
  <c r="U209" i="1" s="1"/>
  <c r="O210" i="1"/>
  <c r="P210" i="1" s="1"/>
  <c r="U210" i="1" s="1"/>
  <c r="O211" i="1"/>
  <c r="P211" i="1" s="1"/>
  <c r="U211" i="1" s="1"/>
  <c r="O212" i="1"/>
  <c r="P212" i="1" s="1"/>
  <c r="U212" i="1" s="1"/>
  <c r="O213" i="1"/>
  <c r="P213" i="1" s="1"/>
  <c r="U213" i="1" s="1"/>
  <c r="O214" i="1"/>
  <c r="P214" i="1" s="1"/>
  <c r="U214" i="1" s="1"/>
  <c r="O215" i="1"/>
  <c r="P215" i="1" s="1"/>
  <c r="U215" i="1" s="1"/>
  <c r="O216" i="1"/>
  <c r="P216" i="1" s="1"/>
  <c r="U216" i="1" s="1"/>
  <c r="O217" i="1"/>
  <c r="P217" i="1" s="1"/>
  <c r="U217" i="1" s="1"/>
  <c r="O218" i="1"/>
  <c r="P218" i="1" s="1"/>
  <c r="U218" i="1" s="1"/>
  <c r="O219" i="1"/>
  <c r="P219" i="1" s="1"/>
  <c r="U219" i="1" s="1"/>
  <c r="O220" i="1"/>
  <c r="P220" i="1" s="1"/>
  <c r="U220" i="1" s="1"/>
  <c r="O221" i="1"/>
  <c r="P221" i="1" s="1"/>
  <c r="U221" i="1" s="1"/>
  <c r="O222" i="1"/>
  <c r="P222" i="1" s="1"/>
  <c r="U222" i="1" s="1"/>
  <c r="O223" i="1"/>
  <c r="P223" i="1" s="1"/>
  <c r="U223" i="1" s="1"/>
  <c r="O224" i="1"/>
  <c r="P224" i="1" s="1"/>
  <c r="U224" i="1" s="1"/>
  <c r="O225" i="1"/>
  <c r="P225" i="1" s="1"/>
  <c r="U225" i="1" s="1"/>
  <c r="O226" i="1"/>
  <c r="P226" i="1" s="1"/>
  <c r="U226" i="1" s="1"/>
  <c r="O227" i="1"/>
  <c r="P227" i="1" s="1"/>
  <c r="U227" i="1" s="1"/>
  <c r="O228" i="1"/>
  <c r="P228" i="1" s="1"/>
  <c r="U228" i="1" s="1"/>
  <c r="O229" i="1"/>
  <c r="P229" i="1" s="1"/>
  <c r="U229" i="1" s="1"/>
  <c r="O230" i="1"/>
  <c r="P230" i="1" s="1"/>
  <c r="U230" i="1" s="1"/>
  <c r="O231" i="1"/>
  <c r="P231" i="1" s="1"/>
  <c r="U231" i="1" s="1"/>
  <c r="O232" i="1"/>
  <c r="P232" i="1" s="1"/>
  <c r="U232" i="1" s="1"/>
  <c r="O233" i="1"/>
  <c r="P233" i="1" s="1"/>
  <c r="U233" i="1" s="1"/>
  <c r="O234" i="1"/>
  <c r="P234" i="1" s="1"/>
  <c r="U234" i="1" s="1"/>
  <c r="O235" i="1"/>
  <c r="P235" i="1" s="1"/>
  <c r="U235" i="1" s="1"/>
  <c r="O236" i="1"/>
  <c r="P236" i="1" s="1"/>
  <c r="U236" i="1" s="1"/>
  <c r="O237" i="1"/>
  <c r="P237" i="1" s="1"/>
  <c r="U237" i="1" s="1"/>
  <c r="O238" i="1"/>
  <c r="P238" i="1" s="1"/>
  <c r="U238" i="1" s="1"/>
  <c r="O239" i="1"/>
  <c r="P239" i="1" s="1"/>
  <c r="U239" i="1" s="1"/>
  <c r="O240" i="1"/>
  <c r="P240" i="1" s="1"/>
  <c r="U240" i="1" s="1"/>
  <c r="O241" i="1"/>
  <c r="P241" i="1" s="1"/>
  <c r="U241" i="1" s="1"/>
  <c r="O242" i="1"/>
  <c r="P242" i="1" s="1"/>
  <c r="U242" i="1" s="1"/>
  <c r="O243" i="1"/>
  <c r="P243" i="1" s="1"/>
  <c r="U243" i="1" s="1"/>
  <c r="O244" i="1"/>
  <c r="P244" i="1" s="1"/>
  <c r="U244" i="1" s="1"/>
  <c r="O245" i="1"/>
  <c r="P245" i="1" s="1"/>
  <c r="U245" i="1" s="1"/>
  <c r="O246" i="1"/>
  <c r="P246" i="1" s="1"/>
  <c r="U246" i="1" s="1"/>
  <c r="O247" i="1"/>
  <c r="P247" i="1" s="1"/>
  <c r="U247" i="1" s="1"/>
  <c r="O248" i="1"/>
  <c r="P248" i="1" s="1"/>
  <c r="U248" i="1" s="1"/>
  <c r="O249" i="1"/>
  <c r="P249" i="1" s="1"/>
  <c r="U249" i="1" s="1"/>
  <c r="O250" i="1"/>
  <c r="P250" i="1" s="1"/>
  <c r="U250" i="1" s="1"/>
  <c r="O251" i="1"/>
  <c r="P251" i="1" s="1"/>
  <c r="U251" i="1" s="1"/>
  <c r="O252" i="1"/>
  <c r="P252" i="1" s="1"/>
  <c r="U252" i="1" s="1"/>
  <c r="O253" i="1"/>
  <c r="P253" i="1" s="1"/>
  <c r="U253" i="1" s="1"/>
  <c r="O254" i="1"/>
  <c r="P254" i="1" s="1"/>
  <c r="U254" i="1" s="1"/>
  <c r="O255" i="1"/>
  <c r="P255" i="1" s="1"/>
  <c r="U255" i="1" s="1"/>
  <c r="O256" i="1"/>
  <c r="P256" i="1" s="1"/>
  <c r="U256" i="1" s="1"/>
  <c r="O257" i="1"/>
  <c r="P257" i="1" s="1"/>
  <c r="U257" i="1" s="1"/>
  <c r="O258" i="1"/>
  <c r="P258" i="1" s="1"/>
  <c r="U258" i="1" s="1"/>
  <c r="O259" i="1"/>
  <c r="P259" i="1" s="1"/>
  <c r="U259" i="1" s="1"/>
  <c r="O260" i="1"/>
  <c r="P260" i="1" s="1"/>
  <c r="U260" i="1" s="1"/>
  <c r="O261" i="1"/>
  <c r="P261" i="1" s="1"/>
  <c r="U261" i="1" s="1"/>
  <c r="O262" i="1"/>
  <c r="P262" i="1" s="1"/>
  <c r="U262" i="1" s="1"/>
  <c r="O263" i="1"/>
  <c r="P263" i="1" s="1"/>
  <c r="U263" i="1" s="1"/>
  <c r="O264" i="1"/>
  <c r="P264" i="1" s="1"/>
  <c r="U264" i="1" s="1"/>
  <c r="O265" i="1"/>
  <c r="P265" i="1" s="1"/>
  <c r="U265" i="1" s="1"/>
  <c r="O266" i="1"/>
  <c r="P266" i="1" s="1"/>
  <c r="U266" i="1" s="1"/>
  <c r="O267" i="1"/>
  <c r="P267" i="1" s="1"/>
  <c r="U267" i="1" s="1"/>
  <c r="O268" i="1"/>
  <c r="P268" i="1" s="1"/>
  <c r="U268" i="1" s="1"/>
  <c r="O269" i="1"/>
  <c r="P269" i="1" s="1"/>
  <c r="U269" i="1" s="1"/>
  <c r="O270" i="1"/>
  <c r="P270" i="1" s="1"/>
  <c r="U270" i="1" s="1"/>
  <c r="O271" i="1"/>
  <c r="P271" i="1" s="1"/>
  <c r="U271" i="1" s="1"/>
  <c r="O272" i="1"/>
  <c r="P272" i="1" s="1"/>
  <c r="U272" i="1" s="1"/>
  <c r="O273" i="1"/>
  <c r="P273" i="1" s="1"/>
  <c r="U273" i="1" s="1"/>
  <c r="O274" i="1"/>
  <c r="P274" i="1" s="1"/>
  <c r="U274" i="1" s="1"/>
  <c r="O275" i="1"/>
  <c r="P275" i="1" s="1"/>
  <c r="U275" i="1" s="1"/>
  <c r="O276" i="1"/>
  <c r="P276" i="1" s="1"/>
  <c r="U276" i="1" s="1"/>
  <c r="O277" i="1"/>
  <c r="P277" i="1" s="1"/>
  <c r="U277" i="1" s="1"/>
  <c r="O278" i="1"/>
  <c r="P278" i="1" s="1"/>
  <c r="U278" i="1" s="1"/>
  <c r="O279" i="1"/>
  <c r="P279" i="1" s="1"/>
  <c r="U279" i="1" s="1"/>
  <c r="O280" i="1"/>
  <c r="P280" i="1" s="1"/>
  <c r="U280" i="1" s="1"/>
  <c r="O281" i="1"/>
  <c r="P281" i="1" s="1"/>
  <c r="U281" i="1" s="1"/>
  <c r="O282" i="1"/>
  <c r="P282" i="1" s="1"/>
  <c r="U282" i="1" s="1"/>
  <c r="O283" i="1"/>
  <c r="P283" i="1" s="1"/>
  <c r="U283" i="1" s="1"/>
  <c r="O284" i="1"/>
  <c r="P284" i="1" s="1"/>
  <c r="U284" i="1" s="1"/>
  <c r="O285" i="1"/>
  <c r="P285" i="1" s="1"/>
  <c r="U285" i="1" s="1"/>
  <c r="O286" i="1"/>
  <c r="P286" i="1" s="1"/>
  <c r="U286" i="1" s="1"/>
  <c r="O287" i="1"/>
  <c r="P287" i="1" s="1"/>
  <c r="U287" i="1" s="1"/>
  <c r="O288" i="1"/>
  <c r="P288" i="1" s="1"/>
  <c r="U288" i="1" s="1"/>
  <c r="O289" i="1"/>
  <c r="P289" i="1" s="1"/>
  <c r="U289" i="1" s="1"/>
  <c r="O290" i="1"/>
  <c r="P290" i="1" s="1"/>
  <c r="U290" i="1" s="1"/>
  <c r="O291" i="1"/>
  <c r="P291" i="1" s="1"/>
  <c r="U291" i="1" s="1"/>
  <c r="O292" i="1"/>
  <c r="P292" i="1" s="1"/>
  <c r="U292" i="1" s="1"/>
  <c r="O293" i="1"/>
  <c r="P293" i="1" s="1"/>
  <c r="U293" i="1" s="1"/>
  <c r="O294" i="1"/>
  <c r="P294" i="1" s="1"/>
  <c r="U294" i="1" s="1"/>
  <c r="O295" i="1"/>
  <c r="P295" i="1" s="1"/>
  <c r="U295" i="1" s="1"/>
  <c r="O296" i="1"/>
  <c r="P296" i="1" s="1"/>
  <c r="U296" i="1" s="1"/>
  <c r="O297" i="1"/>
  <c r="P297" i="1" s="1"/>
  <c r="U297" i="1" s="1"/>
  <c r="O298" i="1"/>
  <c r="P298" i="1" s="1"/>
  <c r="U298" i="1" s="1"/>
  <c r="O299" i="1"/>
  <c r="P299" i="1" s="1"/>
  <c r="U299" i="1" s="1"/>
  <c r="O300" i="1"/>
  <c r="P300" i="1" s="1"/>
  <c r="U300" i="1" s="1"/>
  <c r="O301" i="1"/>
  <c r="P301" i="1" s="1"/>
  <c r="U301" i="1" s="1"/>
  <c r="O302" i="1"/>
  <c r="P302" i="1" s="1"/>
  <c r="U302" i="1" s="1"/>
  <c r="O303" i="1"/>
  <c r="P303" i="1" s="1"/>
  <c r="U303" i="1" s="1"/>
  <c r="O304" i="1"/>
  <c r="P304" i="1" s="1"/>
  <c r="U304" i="1" s="1"/>
  <c r="O305" i="1"/>
  <c r="P305" i="1" s="1"/>
  <c r="U305" i="1" s="1"/>
  <c r="O306" i="1"/>
  <c r="P306" i="1" s="1"/>
  <c r="U306" i="1" s="1"/>
  <c r="O307" i="1"/>
  <c r="P307" i="1" s="1"/>
  <c r="U307" i="1" s="1"/>
  <c r="O308" i="1"/>
  <c r="P308" i="1" s="1"/>
  <c r="U308" i="1" s="1"/>
  <c r="O309" i="1"/>
  <c r="P309" i="1" s="1"/>
  <c r="U309" i="1" s="1"/>
  <c r="O310" i="1"/>
  <c r="P310" i="1" s="1"/>
  <c r="U310" i="1" s="1"/>
  <c r="O311" i="1"/>
  <c r="P311" i="1" s="1"/>
  <c r="U311" i="1" s="1"/>
  <c r="O312" i="1"/>
  <c r="P312" i="1" s="1"/>
  <c r="U312" i="1" s="1"/>
  <c r="O313" i="1"/>
  <c r="P313" i="1" s="1"/>
  <c r="U313" i="1" s="1"/>
  <c r="O314" i="1"/>
  <c r="P314" i="1" s="1"/>
  <c r="U314" i="1" s="1"/>
  <c r="O315" i="1"/>
  <c r="P315" i="1" s="1"/>
  <c r="U315" i="1" s="1"/>
  <c r="O316" i="1"/>
  <c r="P316" i="1" s="1"/>
  <c r="U316" i="1" s="1"/>
  <c r="O317" i="1"/>
  <c r="P317" i="1" s="1"/>
  <c r="U317" i="1" s="1"/>
  <c r="O318" i="1"/>
  <c r="P318" i="1" s="1"/>
  <c r="U318" i="1" s="1"/>
  <c r="O319" i="1"/>
  <c r="P319" i="1" s="1"/>
  <c r="U319" i="1" s="1"/>
  <c r="O320" i="1"/>
  <c r="P320" i="1" s="1"/>
  <c r="U320" i="1" s="1"/>
  <c r="O321" i="1"/>
  <c r="P321" i="1" s="1"/>
  <c r="U321" i="1" s="1"/>
  <c r="O322" i="1"/>
  <c r="P322" i="1" s="1"/>
  <c r="U322" i="1" s="1"/>
  <c r="O323" i="1"/>
  <c r="P323" i="1" s="1"/>
  <c r="U323" i="1" s="1"/>
  <c r="O324" i="1"/>
  <c r="P324" i="1" s="1"/>
  <c r="U324" i="1" s="1"/>
  <c r="O325" i="1"/>
  <c r="P325" i="1" s="1"/>
  <c r="U325" i="1" s="1"/>
  <c r="O326" i="1"/>
  <c r="P326" i="1" s="1"/>
  <c r="U326" i="1" s="1"/>
  <c r="O327" i="1"/>
  <c r="P327" i="1" s="1"/>
  <c r="U327" i="1" s="1"/>
  <c r="O328" i="1"/>
  <c r="P328" i="1" s="1"/>
  <c r="U328" i="1" s="1"/>
  <c r="O329" i="1"/>
  <c r="P329" i="1" s="1"/>
  <c r="U329" i="1" s="1"/>
  <c r="O330" i="1"/>
  <c r="P330" i="1" s="1"/>
  <c r="U330" i="1" s="1"/>
  <c r="O331" i="1"/>
  <c r="P331" i="1" s="1"/>
  <c r="U331" i="1" s="1"/>
  <c r="O332" i="1"/>
  <c r="P332" i="1" s="1"/>
  <c r="U332" i="1" s="1"/>
  <c r="O333" i="1"/>
  <c r="P333" i="1" s="1"/>
  <c r="U333" i="1" s="1"/>
  <c r="O334" i="1"/>
  <c r="P334" i="1" s="1"/>
  <c r="U334" i="1" s="1"/>
  <c r="O335" i="1"/>
  <c r="P335" i="1" s="1"/>
  <c r="U335" i="1" s="1"/>
  <c r="O336" i="1"/>
  <c r="P336" i="1" s="1"/>
  <c r="U336" i="1" s="1"/>
  <c r="O337" i="1"/>
  <c r="P337" i="1" s="1"/>
  <c r="U337" i="1" s="1"/>
  <c r="O338" i="1"/>
  <c r="P338" i="1" s="1"/>
  <c r="U338" i="1" s="1"/>
  <c r="O339" i="1"/>
  <c r="P339" i="1" s="1"/>
  <c r="U339" i="1" s="1"/>
  <c r="O340" i="1"/>
  <c r="P340" i="1" s="1"/>
  <c r="U340" i="1" s="1"/>
  <c r="O341" i="1"/>
  <c r="P341" i="1" s="1"/>
  <c r="U341" i="1" s="1"/>
  <c r="O342" i="1"/>
  <c r="P342" i="1" s="1"/>
  <c r="U342" i="1" s="1"/>
  <c r="O343" i="1"/>
  <c r="P343" i="1" s="1"/>
  <c r="U343" i="1" s="1"/>
  <c r="O344" i="1"/>
  <c r="P344" i="1" s="1"/>
  <c r="U344" i="1" s="1"/>
  <c r="O345" i="1"/>
  <c r="P345" i="1" s="1"/>
  <c r="U345" i="1" s="1"/>
  <c r="O346" i="1"/>
  <c r="P346" i="1" s="1"/>
  <c r="U346" i="1" s="1"/>
  <c r="O347" i="1"/>
  <c r="P347" i="1" s="1"/>
  <c r="U347" i="1" s="1"/>
  <c r="O348" i="1"/>
  <c r="P348" i="1" s="1"/>
  <c r="U348" i="1" s="1"/>
  <c r="O349" i="1"/>
  <c r="P349" i="1" s="1"/>
  <c r="U349" i="1" s="1"/>
  <c r="O350" i="1"/>
  <c r="P350" i="1" s="1"/>
  <c r="U350" i="1" s="1"/>
  <c r="O351" i="1"/>
  <c r="P351" i="1" s="1"/>
  <c r="U351" i="1" s="1"/>
  <c r="O352" i="1"/>
  <c r="P352" i="1" s="1"/>
  <c r="U352" i="1" s="1"/>
  <c r="O353" i="1"/>
  <c r="P353" i="1" s="1"/>
  <c r="U353" i="1" s="1"/>
  <c r="O354" i="1"/>
  <c r="P354" i="1" s="1"/>
  <c r="U354" i="1" s="1"/>
  <c r="O355" i="1"/>
  <c r="P355" i="1" s="1"/>
  <c r="U355" i="1" s="1"/>
  <c r="O356" i="1"/>
  <c r="P356" i="1" s="1"/>
  <c r="U356" i="1" s="1"/>
  <c r="O357" i="1"/>
  <c r="P357" i="1" s="1"/>
  <c r="U357" i="1" s="1"/>
  <c r="O358" i="1"/>
  <c r="P358" i="1" s="1"/>
  <c r="U358" i="1" s="1"/>
  <c r="O359" i="1"/>
  <c r="P359" i="1" s="1"/>
  <c r="U359" i="1" s="1"/>
  <c r="O360" i="1"/>
  <c r="P360" i="1" s="1"/>
  <c r="U360" i="1" s="1"/>
  <c r="O361" i="1"/>
  <c r="P361" i="1" s="1"/>
  <c r="U361" i="1" s="1"/>
  <c r="O362" i="1"/>
  <c r="P362" i="1" s="1"/>
  <c r="U362" i="1" s="1"/>
  <c r="O363" i="1"/>
  <c r="P363" i="1" s="1"/>
  <c r="U363" i="1" s="1"/>
  <c r="O364" i="1"/>
  <c r="P364" i="1" s="1"/>
  <c r="U364" i="1" s="1"/>
  <c r="O365" i="1"/>
  <c r="P365" i="1" s="1"/>
  <c r="U365" i="1" s="1"/>
  <c r="O366" i="1"/>
  <c r="P366" i="1" s="1"/>
  <c r="U366" i="1" s="1"/>
  <c r="O367" i="1"/>
  <c r="P367" i="1" s="1"/>
  <c r="U367" i="1" s="1"/>
  <c r="O368" i="1"/>
  <c r="P368" i="1" s="1"/>
  <c r="U368" i="1" s="1"/>
  <c r="O369" i="1"/>
  <c r="P369" i="1" s="1"/>
  <c r="U369" i="1" s="1"/>
  <c r="O370" i="1"/>
  <c r="P370" i="1" s="1"/>
  <c r="U370" i="1" s="1"/>
  <c r="O371" i="1"/>
  <c r="P371" i="1" s="1"/>
  <c r="U371" i="1" s="1"/>
  <c r="O372" i="1"/>
  <c r="P372" i="1" s="1"/>
  <c r="U372" i="1" s="1"/>
  <c r="O373" i="1"/>
  <c r="P373" i="1" s="1"/>
  <c r="U373" i="1" s="1"/>
  <c r="O374" i="1"/>
  <c r="P374" i="1" s="1"/>
  <c r="U374" i="1" s="1"/>
  <c r="O375" i="1"/>
  <c r="P375" i="1" s="1"/>
  <c r="U375" i="1" s="1"/>
  <c r="O376" i="1"/>
  <c r="P376" i="1" s="1"/>
  <c r="U376" i="1" s="1"/>
  <c r="O377" i="1"/>
  <c r="P377" i="1" s="1"/>
  <c r="U377" i="1" s="1"/>
  <c r="O378" i="1"/>
  <c r="P378" i="1" s="1"/>
  <c r="U378" i="1" s="1"/>
  <c r="O379" i="1"/>
  <c r="P379" i="1" s="1"/>
  <c r="U379" i="1" s="1"/>
  <c r="O380" i="1"/>
  <c r="P380" i="1" s="1"/>
  <c r="U380" i="1" s="1"/>
  <c r="O381" i="1"/>
  <c r="P381" i="1" s="1"/>
  <c r="U381" i="1" s="1"/>
  <c r="O382" i="1"/>
  <c r="P382" i="1" s="1"/>
  <c r="U382" i="1" s="1"/>
  <c r="O383" i="1"/>
  <c r="P383" i="1" s="1"/>
  <c r="U383" i="1" s="1"/>
  <c r="O384" i="1"/>
  <c r="P384" i="1" s="1"/>
  <c r="U384" i="1" s="1"/>
  <c r="O385" i="1"/>
  <c r="P385" i="1" s="1"/>
  <c r="U385" i="1" s="1"/>
  <c r="O386" i="1"/>
  <c r="P386" i="1" s="1"/>
  <c r="U386" i="1" s="1"/>
  <c r="O387" i="1"/>
  <c r="P387" i="1" s="1"/>
  <c r="U387" i="1" s="1"/>
  <c r="O388" i="1"/>
  <c r="P388" i="1" s="1"/>
  <c r="U388" i="1" s="1"/>
  <c r="O389" i="1"/>
  <c r="P389" i="1" s="1"/>
  <c r="U389" i="1" s="1"/>
  <c r="O390" i="1"/>
  <c r="P390" i="1" s="1"/>
  <c r="U390" i="1" s="1"/>
  <c r="O391" i="1"/>
  <c r="P391" i="1" s="1"/>
  <c r="U391" i="1" s="1"/>
  <c r="O392" i="1"/>
  <c r="P392" i="1" s="1"/>
  <c r="U392" i="1" s="1"/>
  <c r="O393" i="1"/>
  <c r="P393" i="1" s="1"/>
  <c r="U393" i="1" s="1"/>
  <c r="O394" i="1"/>
  <c r="P394" i="1" s="1"/>
  <c r="U394" i="1" s="1"/>
  <c r="O395" i="1"/>
  <c r="P395" i="1" s="1"/>
  <c r="U395" i="1" s="1"/>
  <c r="O396" i="1"/>
  <c r="P396" i="1" s="1"/>
  <c r="U396" i="1" s="1"/>
  <c r="O397" i="1"/>
  <c r="P397" i="1" s="1"/>
  <c r="U397" i="1" s="1"/>
  <c r="O398" i="1"/>
  <c r="P398" i="1" s="1"/>
  <c r="U398" i="1" s="1"/>
  <c r="O399" i="1"/>
  <c r="P399" i="1" s="1"/>
  <c r="U399" i="1" s="1"/>
  <c r="O400" i="1"/>
  <c r="P400" i="1" s="1"/>
  <c r="U400" i="1" s="1"/>
  <c r="O401" i="1"/>
  <c r="P401" i="1" s="1"/>
  <c r="U401" i="1" s="1"/>
  <c r="O402" i="1"/>
  <c r="P402" i="1" s="1"/>
  <c r="U402" i="1" s="1"/>
  <c r="O403" i="1"/>
  <c r="P403" i="1" s="1"/>
  <c r="U403" i="1" s="1"/>
  <c r="O404" i="1"/>
  <c r="P404" i="1" s="1"/>
  <c r="U404" i="1" s="1"/>
  <c r="O405" i="1"/>
  <c r="P405" i="1" s="1"/>
  <c r="U405" i="1" s="1"/>
  <c r="O406" i="1"/>
  <c r="P406" i="1" s="1"/>
  <c r="U406" i="1" s="1"/>
  <c r="O407" i="1"/>
  <c r="P407" i="1" s="1"/>
  <c r="U407" i="1" s="1"/>
  <c r="O408" i="1"/>
  <c r="P408" i="1" s="1"/>
  <c r="U408" i="1" s="1"/>
  <c r="O409" i="1"/>
  <c r="P409" i="1" s="1"/>
  <c r="U409" i="1" s="1"/>
  <c r="O410" i="1"/>
  <c r="P410" i="1" s="1"/>
  <c r="U410" i="1" s="1"/>
  <c r="O411" i="1"/>
  <c r="P411" i="1" s="1"/>
  <c r="U411" i="1" s="1"/>
  <c r="O412" i="1"/>
  <c r="P412" i="1" s="1"/>
  <c r="U412" i="1" s="1"/>
  <c r="O413" i="1"/>
  <c r="P413" i="1" s="1"/>
  <c r="U413" i="1" s="1"/>
  <c r="O414" i="1"/>
  <c r="P414" i="1" s="1"/>
  <c r="U414" i="1" s="1"/>
  <c r="O415" i="1"/>
  <c r="P415" i="1" s="1"/>
  <c r="U415" i="1" s="1"/>
  <c r="O416" i="1"/>
  <c r="P416" i="1" s="1"/>
  <c r="U416" i="1" s="1"/>
  <c r="O417" i="1"/>
  <c r="P417" i="1" s="1"/>
  <c r="U417" i="1" s="1"/>
  <c r="O418" i="1"/>
  <c r="P418" i="1" s="1"/>
  <c r="U418" i="1" s="1"/>
  <c r="O419" i="1"/>
  <c r="P419" i="1" s="1"/>
  <c r="U419" i="1" s="1"/>
  <c r="O420" i="1"/>
  <c r="P420" i="1" s="1"/>
  <c r="U420" i="1" s="1"/>
  <c r="O421" i="1"/>
  <c r="P421" i="1" s="1"/>
  <c r="U421" i="1" s="1"/>
  <c r="O422" i="1"/>
  <c r="P422" i="1" s="1"/>
  <c r="U422" i="1" s="1"/>
  <c r="O423" i="1"/>
  <c r="P423" i="1" s="1"/>
  <c r="U423" i="1" s="1"/>
  <c r="O424" i="1"/>
  <c r="P424" i="1" s="1"/>
  <c r="U424" i="1" s="1"/>
  <c r="O425" i="1"/>
  <c r="P425" i="1" s="1"/>
  <c r="U425" i="1" s="1"/>
  <c r="O9" i="1"/>
  <c r="P9" i="1" s="1"/>
  <c r="U9" i="1" s="1"/>
  <c r="O10" i="1"/>
  <c r="P10" i="1" s="1"/>
  <c r="U10" i="1" s="1"/>
  <c r="O11" i="1"/>
  <c r="P11" i="1" s="1"/>
  <c r="U11" i="1" s="1"/>
  <c r="O12" i="1"/>
  <c r="P12" i="1" s="1"/>
  <c r="U12" i="1" s="1"/>
  <c r="O13" i="1"/>
  <c r="P13" i="1" s="1"/>
  <c r="U13" i="1" s="1"/>
  <c r="O14" i="1"/>
  <c r="P14" i="1" s="1"/>
  <c r="U14" i="1" s="1"/>
  <c r="O15" i="1"/>
  <c r="P15" i="1" s="1"/>
  <c r="U15" i="1" s="1"/>
  <c r="O16" i="1"/>
  <c r="P16" i="1" s="1"/>
  <c r="U16" i="1" s="1"/>
  <c r="O17" i="1"/>
  <c r="P17" i="1" s="1"/>
  <c r="U17" i="1" s="1"/>
  <c r="O18" i="1"/>
  <c r="P18" i="1" s="1"/>
  <c r="U18" i="1" s="1"/>
  <c r="O19" i="1"/>
  <c r="P19" i="1" s="1"/>
  <c r="U19" i="1" s="1"/>
  <c r="O3" i="1"/>
  <c r="P3" i="1" s="1"/>
  <c r="U3" i="1" s="1"/>
  <c r="O4" i="1"/>
  <c r="P4" i="1" s="1"/>
  <c r="U4" i="1" s="1"/>
  <c r="O5" i="1"/>
  <c r="P5" i="1" s="1"/>
  <c r="U5" i="1" s="1"/>
  <c r="O6" i="1"/>
  <c r="P6" i="1" s="1"/>
  <c r="U6" i="1" s="1"/>
  <c r="O7" i="1"/>
  <c r="P7" i="1" s="1"/>
  <c r="U7" i="1" s="1"/>
  <c r="O8" i="1"/>
  <c r="P8" i="1" s="1"/>
  <c r="U8" i="1" s="1"/>
  <c r="O2" i="1"/>
  <c r="P2" i="1" s="1"/>
  <c r="U2" i="1" s="1"/>
  <c r="W422" i="1" l="1"/>
  <c r="Y422" i="1" s="1"/>
  <c r="W414" i="1"/>
  <c r="Y414" i="1" s="1"/>
  <c r="W406" i="1"/>
  <c r="Y406" i="1" s="1"/>
  <c r="W398" i="1"/>
  <c r="Y398" i="1" s="1"/>
  <c r="W390" i="1"/>
  <c r="Y390" i="1" s="1"/>
  <c r="W382" i="1"/>
  <c r="Y382" i="1" s="1"/>
  <c r="W374" i="1"/>
  <c r="Y374" i="1" s="1"/>
  <c r="W366" i="1"/>
  <c r="Y366" i="1" s="1"/>
  <c r="W358" i="1"/>
  <c r="Y358" i="1" s="1"/>
  <c r="W350" i="1"/>
  <c r="Y350" i="1" s="1"/>
  <c r="W342" i="1"/>
  <c r="Y342" i="1" s="1"/>
  <c r="W334" i="1"/>
  <c r="Y334" i="1" s="1"/>
  <c r="W326" i="1"/>
  <c r="Y326" i="1" s="1"/>
  <c r="W318" i="1"/>
  <c r="Y318" i="1" s="1"/>
  <c r="W310" i="1"/>
  <c r="Y310" i="1" s="1"/>
  <c r="W302" i="1"/>
  <c r="Y302" i="1" s="1"/>
  <c r="W294" i="1"/>
  <c r="Y294" i="1" s="1"/>
  <c r="W286" i="1"/>
  <c r="Y286" i="1" s="1"/>
  <c r="W278" i="1"/>
  <c r="Y278" i="1" s="1"/>
  <c r="W270" i="1"/>
  <c r="Y270" i="1" s="1"/>
  <c r="W262" i="1"/>
  <c r="Y262" i="1" s="1"/>
  <c r="W254" i="1"/>
  <c r="Y254" i="1" s="1"/>
  <c r="W246" i="1"/>
  <c r="Y246" i="1" s="1"/>
  <c r="W238" i="1"/>
  <c r="Y238" i="1" s="1"/>
  <c r="W230" i="1"/>
  <c r="Y230" i="1" s="1"/>
  <c r="W222" i="1"/>
  <c r="Y222" i="1" s="1"/>
  <c r="W214" i="1"/>
  <c r="Y214" i="1" s="1"/>
  <c r="W206" i="1"/>
  <c r="Y206" i="1" s="1"/>
  <c r="W198" i="1"/>
  <c r="Y198" i="1" s="1"/>
  <c r="W190" i="1"/>
  <c r="Y190" i="1" s="1"/>
  <c r="W182" i="1"/>
  <c r="Y182" i="1" s="1"/>
  <c r="W174" i="1"/>
  <c r="Y174" i="1" s="1"/>
  <c r="W166" i="1"/>
  <c r="Y166" i="1" s="1"/>
  <c r="W158" i="1"/>
  <c r="Y158" i="1" s="1"/>
  <c r="W150" i="1"/>
  <c r="Y150" i="1" s="1"/>
  <c r="W142" i="1"/>
  <c r="Y142" i="1" s="1"/>
  <c r="W134" i="1"/>
  <c r="Y134" i="1" s="1"/>
  <c r="W126" i="1"/>
  <c r="Y126" i="1" s="1"/>
  <c r="W118" i="1"/>
  <c r="Y118" i="1" s="1"/>
  <c r="W110" i="1"/>
  <c r="Y110" i="1" s="1"/>
  <c r="W102" i="1"/>
  <c r="Y102" i="1" s="1"/>
  <c r="W94" i="1"/>
  <c r="Y94" i="1" s="1"/>
  <c r="W86" i="1"/>
  <c r="Y86" i="1" s="1"/>
  <c r="W78" i="1"/>
  <c r="Y78" i="1" s="1"/>
  <c r="W70" i="1"/>
  <c r="Y70" i="1" s="1"/>
  <c r="W62" i="1"/>
  <c r="Y62" i="1" s="1"/>
  <c r="W54" i="1"/>
  <c r="Y54" i="1" s="1"/>
  <c r="W46" i="1"/>
  <c r="Y46" i="1" s="1"/>
  <c r="W38" i="1"/>
  <c r="Y38" i="1" s="1"/>
  <c r="W30" i="1"/>
  <c r="Y30" i="1" s="1"/>
  <c r="W22" i="1"/>
  <c r="Y22" i="1" s="1"/>
  <c r="W14" i="1"/>
  <c r="Y14" i="1" s="1"/>
  <c r="W6" i="1"/>
  <c r="Y6" i="1" s="1"/>
  <c r="W420" i="1"/>
  <c r="Y420" i="1" s="1"/>
  <c r="W412" i="1"/>
  <c r="Y412" i="1" s="1"/>
  <c r="W404" i="1"/>
  <c r="Y404" i="1" s="1"/>
  <c r="W396" i="1"/>
  <c r="Y396" i="1" s="1"/>
  <c r="W388" i="1"/>
  <c r="Y388" i="1" s="1"/>
  <c r="W380" i="1"/>
  <c r="Y380" i="1" s="1"/>
  <c r="W372" i="1"/>
  <c r="Y372" i="1" s="1"/>
  <c r="W364" i="1"/>
  <c r="Y364" i="1" s="1"/>
  <c r="W356" i="1"/>
  <c r="Y356" i="1" s="1"/>
  <c r="W348" i="1"/>
  <c r="Y348" i="1" s="1"/>
  <c r="W340" i="1"/>
  <c r="Y340" i="1" s="1"/>
  <c r="W332" i="1"/>
  <c r="Y332" i="1" s="1"/>
  <c r="W324" i="1"/>
  <c r="Y324" i="1" s="1"/>
  <c r="W316" i="1"/>
  <c r="Y316" i="1" s="1"/>
  <c r="W308" i="1"/>
  <c r="Y308" i="1" s="1"/>
  <c r="W300" i="1"/>
  <c r="Y300" i="1" s="1"/>
  <c r="W292" i="1"/>
  <c r="Y292" i="1" s="1"/>
  <c r="W284" i="1"/>
  <c r="Y284" i="1" s="1"/>
  <c r="W276" i="1"/>
  <c r="Y276" i="1" s="1"/>
  <c r="W268" i="1"/>
  <c r="Y268" i="1" s="1"/>
  <c r="W260" i="1"/>
  <c r="Y260" i="1" s="1"/>
  <c r="W252" i="1"/>
  <c r="Y252" i="1" s="1"/>
  <c r="W244" i="1"/>
  <c r="Y244" i="1" s="1"/>
  <c r="W236" i="1"/>
  <c r="Y236" i="1" s="1"/>
  <c r="W228" i="1"/>
  <c r="Y228" i="1" s="1"/>
  <c r="W220" i="1"/>
  <c r="Y220" i="1" s="1"/>
  <c r="W212" i="1"/>
  <c r="Y212" i="1" s="1"/>
  <c r="W204" i="1"/>
  <c r="Y204" i="1" s="1"/>
  <c r="W196" i="1"/>
  <c r="Y196" i="1" s="1"/>
  <c r="W188" i="1"/>
  <c r="Y188" i="1" s="1"/>
  <c r="W180" i="1"/>
  <c r="Y180" i="1" s="1"/>
  <c r="W172" i="1"/>
  <c r="Y172" i="1" s="1"/>
  <c r="W164" i="1"/>
  <c r="Y164" i="1" s="1"/>
  <c r="W156" i="1"/>
  <c r="Y156" i="1" s="1"/>
  <c r="W148" i="1"/>
  <c r="Y148" i="1" s="1"/>
  <c r="W140" i="1"/>
  <c r="Y140" i="1" s="1"/>
  <c r="W132" i="1"/>
  <c r="Y132" i="1" s="1"/>
  <c r="W124" i="1"/>
  <c r="Y124" i="1" s="1"/>
  <c r="W116" i="1"/>
  <c r="Y116" i="1" s="1"/>
  <c r="W108" i="1"/>
  <c r="Y108" i="1" s="1"/>
  <c r="W100" i="1"/>
  <c r="Y100" i="1" s="1"/>
  <c r="W92" i="1"/>
  <c r="Y92" i="1" s="1"/>
  <c r="W84" i="1"/>
  <c r="Y84" i="1" s="1"/>
  <c r="W76" i="1"/>
  <c r="Y76" i="1" s="1"/>
  <c r="W68" i="1"/>
  <c r="Y68" i="1" s="1"/>
  <c r="W60" i="1"/>
  <c r="Y60" i="1" s="1"/>
  <c r="W52" i="1"/>
  <c r="Y52" i="1" s="1"/>
  <c r="W44" i="1"/>
  <c r="Y44" i="1" s="1"/>
  <c r="W36" i="1"/>
  <c r="Y36" i="1" s="1"/>
  <c r="W28" i="1"/>
  <c r="Y28" i="1" s="1"/>
  <c r="W20" i="1"/>
  <c r="Y20" i="1" s="1"/>
  <c r="W12" i="1"/>
  <c r="Y12" i="1" s="1"/>
  <c r="W4" i="1"/>
  <c r="Y4" i="1" s="1"/>
  <c r="W419" i="1"/>
  <c r="Y419" i="1" s="1"/>
  <c r="W411" i="1"/>
  <c r="Y411" i="1" s="1"/>
  <c r="W403" i="1"/>
  <c r="Y403" i="1" s="1"/>
  <c r="W395" i="1"/>
  <c r="Y395" i="1" s="1"/>
  <c r="W387" i="1"/>
  <c r="Y387" i="1" s="1"/>
  <c r="W379" i="1"/>
  <c r="Y379" i="1" s="1"/>
  <c r="W371" i="1"/>
  <c r="Y371" i="1" s="1"/>
  <c r="W363" i="1"/>
  <c r="Y363" i="1" s="1"/>
  <c r="W355" i="1"/>
  <c r="Y355" i="1" s="1"/>
  <c r="W347" i="1"/>
  <c r="Y347" i="1" s="1"/>
  <c r="W339" i="1"/>
  <c r="Y339" i="1" s="1"/>
  <c r="W331" i="1"/>
  <c r="Y331" i="1" s="1"/>
  <c r="W323" i="1"/>
  <c r="Y323" i="1" s="1"/>
  <c r="W315" i="1"/>
  <c r="Y315" i="1" s="1"/>
  <c r="W307" i="1"/>
  <c r="Y307" i="1" s="1"/>
  <c r="W299" i="1"/>
  <c r="Y299" i="1" s="1"/>
  <c r="W291" i="1"/>
  <c r="Y291" i="1" s="1"/>
  <c r="W283" i="1"/>
  <c r="Y283" i="1" s="1"/>
  <c r="W275" i="1"/>
  <c r="Y275" i="1" s="1"/>
  <c r="W267" i="1"/>
  <c r="Y267" i="1" s="1"/>
  <c r="W259" i="1"/>
  <c r="Y259" i="1" s="1"/>
  <c r="W251" i="1"/>
  <c r="Y251" i="1" s="1"/>
  <c r="W243" i="1"/>
  <c r="Y243" i="1" s="1"/>
  <c r="W235" i="1"/>
  <c r="Y235" i="1" s="1"/>
  <c r="W227" i="1"/>
  <c r="Y227" i="1" s="1"/>
  <c r="W219" i="1"/>
  <c r="Y219" i="1" s="1"/>
  <c r="W211" i="1"/>
  <c r="Y211" i="1" s="1"/>
  <c r="W203" i="1"/>
  <c r="Y203" i="1" s="1"/>
  <c r="W195" i="1"/>
  <c r="Y195" i="1" s="1"/>
  <c r="W187" i="1"/>
  <c r="Y187" i="1" s="1"/>
  <c r="W179" i="1"/>
  <c r="Y179" i="1" s="1"/>
  <c r="W171" i="1"/>
  <c r="Y171" i="1" s="1"/>
  <c r="W163" i="1"/>
  <c r="Y163" i="1" s="1"/>
  <c r="W155" i="1"/>
  <c r="Y155" i="1" s="1"/>
  <c r="W147" i="1"/>
  <c r="Y147" i="1" s="1"/>
  <c r="W139" i="1"/>
  <c r="Y139" i="1" s="1"/>
  <c r="W131" i="1"/>
  <c r="Y131" i="1" s="1"/>
  <c r="W123" i="1"/>
  <c r="Y123" i="1" s="1"/>
  <c r="W115" i="1"/>
  <c r="Y115" i="1" s="1"/>
  <c r="W107" i="1"/>
  <c r="Y107" i="1" s="1"/>
  <c r="W99" i="1"/>
  <c r="Y99" i="1" s="1"/>
  <c r="W91" i="1"/>
  <c r="Y91" i="1" s="1"/>
  <c r="W83" i="1"/>
  <c r="Y83" i="1" s="1"/>
  <c r="W75" i="1"/>
  <c r="Y75" i="1" s="1"/>
  <c r="W67" i="1"/>
  <c r="Y67" i="1" s="1"/>
  <c r="W59" i="1"/>
  <c r="Y59" i="1" s="1"/>
  <c r="W51" i="1"/>
  <c r="Y51" i="1" s="1"/>
  <c r="W43" i="1"/>
  <c r="Y43" i="1" s="1"/>
  <c r="W35" i="1"/>
  <c r="Y35" i="1" s="1"/>
  <c r="W27" i="1"/>
  <c r="Y27" i="1" s="1"/>
  <c r="W19" i="1"/>
  <c r="Y19" i="1" s="1"/>
  <c r="W11" i="1"/>
  <c r="Y11" i="1" s="1"/>
  <c r="W3" i="1"/>
  <c r="Y3" i="1" s="1"/>
  <c r="V2" i="1"/>
  <c r="W418" i="1"/>
  <c r="Y418" i="1" s="1"/>
  <c r="W410" i="1"/>
  <c r="Y410" i="1" s="1"/>
  <c r="W402" i="1"/>
  <c r="Y402" i="1" s="1"/>
  <c r="W394" i="1"/>
  <c r="Y394" i="1" s="1"/>
  <c r="W386" i="1"/>
  <c r="Y386" i="1" s="1"/>
  <c r="W378" i="1"/>
  <c r="Y378" i="1" s="1"/>
  <c r="W370" i="1"/>
  <c r="Y370" i="1" s="1"/>
  <c r="W362" i="1"/>
  <c r="Y362" i="1" s="1"/>
  <c r="W354" i="1"/>
  <c r="Y354" i="1" s="1"/>
  <c r="W346" i="1"/>
  <c r="Y346" i="1" s="1"/>
  <c r="W338" i="1"/>
  <c r="Y338" i="1" s="1"/>
  <c r="W330" i="1"/>
  <c r="Y330" i="1" s="1"/>
  <c r="W322" i="1"/>
  <c r="Y322" i="1" s="1"/>
  <c r="W314" i="1"/>
  <c r="Y314" i="1" s="1"/>
  <c r="W306" i="1"/>
  <c r="Y306" i="1" s="1"/>
  <c r="W298" i="1"/>
  <c r="Y298" i="1" s="1"/>
  <c r="W290" i="1"/>
  <c r="Y290" i="1" s="1"/>
  <c r="W282" i="1"/>
  <c r="Y282" i="1" s="1"/>
  <c r="W274" i="1"/>
  <c r="Y274" i="1" s="1"/>
  <c r="W266" i="1"/>
  <c r="Y266" i="1" s="1"/>
  <c r="W258" i="1"/>
  <c r="Y258" i="1" s="1"/>
  <c r="W250" i="1"/>
  <c r="Y250" i="1" s="1"/>
  <c r="W242" i="1"/>
  <c r="Y242" i="1" s="1"/>
  <c r="W234" i="1"/>
  <c r="Y234" i="1" s="1"/>
  <c r="W226" i="1"/>
  <c r="Y226" i="1" s="1"/>
  <c r="W218" i="1"/>
  <c r="Y218" i="1" s="1"/>
  <c r="W210" i="1"/>
  <c r="Y210" i="1" s="1"/>
  <c r="W202" i="1"/>
  <c r="Y202" i="1" s="1"/>
  <c r="W194" i="1"/>
  <c r="Y194" i="1" s="1"/>
  <c r="W186" i="1"/>
  <c r="Y186" i="1" s="1"/>
  <c r="W178" i="1"/>
  <c r="Y178" i="1" s="1"/>
  <c r="W170" i="1"/>
  <c r="Y170" i="1" s="1"/>
  <c r="W162" i="1"/>
  <c r="Y162" i="1" s="1"/>
  <c r="W154" i="1"/>
  <c r="Y154" i="1" s="1"/>
  <c r="W146" i="1"/>
  <c r="Y146" i="1" s="1"/>
  <c r="W138" i="1"/>
  <c r="Y138" i="1" s="1"/>
  <c r="W130" i="1"/>
  <c r="Y130" i="1" s="1"/>
  <c r="W122" i="1"/>
  <c r="Y122" i="1" s="1"/>
  <c r="W114" i="1"/>
  <c r="Y114" i="1" s="1"/>
  <c r="W106" i="1"/>
  <c r="Y106" i="1" s="1"/>
  <c r="W98" i="1"/>
  <c r="Y98" i="1" s="1"/>
  <c r="W90" i="1"/>
  <c r="Y90" i="1" s="1"/>
  <c r="W82" i="1"/>
  <c r="Y82" i="1" s="1"/>
  <c r="W74" i="1"/>
  <c r="Y74" i="1" s="1"/>
  <c r="W66" i="1"/>
  <c r="Y66" i="1" s="1"/>
  <c r="W58" i="1"/>
  <c r="Y58" i="1" s="1"/>
  <c r="W50" i="1"/>
  <c r="Y50" i="1" s="1"/>
  <c r="W42" i="1"/>
  <c r="Y42" i="1" s="1"/>
  <c r="W34" i="1"/>
  <c r="Y34" i="1" s="1"/>
  <c r="W26" i="1"/>
  <c r="Y26" i="1" s="1"/>
  <c r="W18" i="1"/>
  <c r="Y18" i="1" s="1"/>
  <c r="W10" i="1"/>
  <c r="Y10" i="1" s="1"/>
  <c r="W425" i="1"/>
  <c r="Y425" i="1" s="1"/>
  <c r="W417" i="1"/>
  <c r="Y417" i="1" s="1"/>
  <c r="W409" i="1"/>
  <c r="Y409" i="1" s="1"/>
  <c r="W401" i="1"/>
  <c r="Y401" i="1" s="1"/>
  <c r="W393" i="1"/>
  <c r="Y393" i="1" s="1"/>
  <c r="W385" i="1"/>
  <c r="Y385" i="1" s="1"/>
  <c r="W377" i="1"/>
  <c r="Y377" i="1" s="1"/>
  <c r="W369" i="1"/>
  <c r="Y369" i="1" s="1"/>
  <c r="W361" i="1"/>
  <c r="Y361" i="1" s="1"/>
  <c r="W353" i="1"/>
  <c r="Y353" i="1" s="1"/>
  <c r="W345" i="1"/>
  <c r="Y345" i="1" s="1"/>
  <c r="W337" i="1"/>
  <c r="Y337" i="1" s="1"/>
  <c r="W329" i="1"/>
  <c r="Y329" i="1" s="1"/>
  <c r="W321" i="1"/>
  <c r="Y321" i="1" s="1"/>
  <c r="W313" i="1"/>
  <c r="Y313" i="1" s="1"/>
  <c r="W305" i="1"/>
  <c r="Y305" i="1" s="1"/>
  <c r="W297" i="1"/>
  <c r="Y297" i="1" s="1"/>
  <c r="W289" i="1"/>
  <c r="Y289" i="1" s="1"/>
  <c r="W281" i="1"/>
  <c r="Y281" i="1" s="1"/>
  <c r="W273" i="1"/>
  <c r="Y273" i="1" s="1"/>
  <c r="W265" i="1"/>
  <c r="Y265" i="1" s="1"/>
  <c r="W257" i="1"/>
  <c r="Y257" i="1" s="1"/>
  <c r="W249" i="1"/>
  <c r="Y249" i="1" s="1"/>
  <c r="W241" i="1"/>
  <c r="Y241" i="1" s="1"/>
  <c r="W233" i="1"/>
  <c r="Y233" i="1" s="1"/>
  <c r="W225" i="1"/>
  <c r="Y225" i="1" s="1"/>
  <c r="W217" i="1"/>
  <c r="Y217" i="1" s="1"/>
  <c r="W209" i="1"/>
  <c r="Y209" i="1" s="1"/>
  <c r="W201" i="1"/>
  <c r="Y201" i="1" s="1"/>
  <c r="W193" i="1"/>
  <c r="Y193" i="1" s="1"/>
  <c r="W185" i="1"/>
  <c r="Y185" i="1" s="1"/>
  <c r="W177" i="1"/>
  <c r="Y177" i="1" s="1"/>
  <c r="W169" i="1"/>
  <c r="Y169" i="1" s="1"/>
  <c r="W161" i="1"/>
  <c r="Y161" i="1" s="1"/>
  <c r="W153" i="1"/>
  <c r="Y153" i="1" s="1"/>
  <c r="W145" i="1"/>
  <c r="Y145" i="1" s="1"/>
  <c r="W137" i="1"/>
  <c r="Y137" i="1" s="1"/>
  <c r="W129" i="1"/>
  <c r="Y129" i="1" s="1"/>
  <c r="W121" i="1"/>
  <c r="Y121" i="1" s="1"/>
  <c r="W113" i="1"/>
  <c r="Y113" i="1" s="1"/>
  <c r="W105" i="1"/>
  <c r="Y105" i="1" s="1"/>
  <c r="W97" i="1"/>
  <c r="Y97" i="1" s="1"/>
  <c r="W89" i="1"/>
  <c r="Y89" i="1" s="1"/>
  <c r="W81" i="1"/>
  <c r="Y81" i="1" s="1"/>
  <c r="W73" i="1"/>
  <c r="Y73" i="1" s="1"/>
  <c r="W65" i="1"/>
  <c r="Y65" i="1" s="1"/>
  <c r="W57" i="1"/>
  <c r="Y57" i="1" s="1"/>
  <c r="W49" i="1"/>
  <c r="Y49" i="1" s="1"/>
  <c r="W41" i="1"/>
  <c r="Y41" i="1" s="1"/>
  <c r="W33" i="1"/>
  <c r="Y33" i="1" s="1"/>
  <c r="W25" i="1"/>
  <c r="Y25" i="1" s="1"/>
  <c r="W17" i="1"/>
  <c r="Y17" i="1" s="1"/>
  <c r="W9" i="1"/>
  <c r="Y9" i="1" s="1"/>
  <c r="W424" i="1"/>
  <c r="Y424" i="1" s="1"/>
  <c r="W416" i="1"/>
  <c r="Y416" i="1" s="1"/>
  <c r="W408" i="1"/>
  <c r="Y408" i="1" s="1"/>
  <c r="W400" i="1"/>
  <c r="Y400" i="1" s="1"/>
  <c r="W392" i="1"/>
  <c r="Y392" i="1" s="1"/>
  <c r="W384" i="1"/>
  <c r="Y384" i="1" s="1"/>
  <c r="W376" i="1"/>
  <c r="Y376" i="1" s="1"/>
  <c r="W368" i="1"/>
  <c r="Y368" i="1" s="1"/>
  <c r="W360" i="1"/>
  <c r="Y360" i="1" s="1"/>
  <c r="W352" i="1"/>
  <c r="Y352" i="1" s="1"/>
  <c r="W344" i="1"/>
  <c r="Y344" i="1" s="1"/>
  <c r="W336" i="1"/>
  <c r="Y336" i="1" s="1"/>
  <c r="W328" i="1"/>
  <c r="Y328" i="1" s="1"/>
  <c r="W320" i="1"/>
  <c r="Y320" i="1" s="1"/>
  <c r="W312" i="1"/>
  <c r="Y312" i="1" s="1"/>
  <c r="W304" i="1"/>
  <c r="Y304" i="1" s="1"/>
  <c r="W296" i="1"/>
  <c r="Y296" i="1" s="1"/>
  <c r="W288" i="1"/>
  <c r="Y288" i="1" s="1"/>
  <c r="W280" i="1"/>
  <c r="Y280" i="1" s="1"/>
  <c r="W272" i="1"/>
  <c r="Y272" i="1" s="1"/>
  <c r="W264" i="1"/>
  <c r="Y264" i="1" s="1"/>
  <c r="W256" i="1"/>
  <c r="Y256" i="1" s="1"/>
  <c r="W248" i="1"/>
  <c r="Y248" i="1" s="1"/>
  <c r="W240" i="1"/>
  <c r="Y240" i="1" s="1"/>
  <c r="W232" i="1"/>
  <c r="Y232" i="1" s="1"/>
  <c r="W224" i="1"/>
  <c r="Y224" i="1" s="1"/>
  <c r="W216" i="1"/>
  <c r="Y216" i="1" s="1"/>
  <c r="W208" i="1"/>
  <c r="Y208" i="1" s="1"/>
  <c r="W200" i="1"/>
  <c r="Y200" i="1" s="1"/>
  <c r="W192" i="1"/>
  <c r="Y192" i="1" s="1"/>
  <c r="W184" i="1"/>
  <c r="Y184" i="1" s="1"/>
  <c r="W176" i="1"/>
  <c r="Y176" i="1" s="1"/>
  <c r="W168" i="1"/>
  <c r="Y168" i="1" s="1"/>
  <c r="W160" i="1"/>
  <c r="Y160" i="1" s="1"/>
  <c r="W152" i="1"/>
  <c r="Y152" i="1" s="1"/>
  <c r="W144" i="1"/>
  <c r="Y144" i="1" s="1"/>
  <c r="W136" i="1"/>
  <c r="Y136" i="1" s="1"/>
  <c r="W128" i="1"/>
  <c r="Y128" i="1" s="1"/>
  <c r="W120" i="1"/>
  <c r="Y120" i="1" s="1"/>
  <c r="W112" i="1"/>
  <c r="Y112" i="1" s="1"/>
  <c r="W104" i="1"/>
  <c r="Y104" i="1" s="1"/>
  <c r="W96" i="1"/>
  <c r="Y96" i="1" s="1"/>
  <c r="W88" i="1"/>
  <c r="Y88" i="1" s="1"/>
  <c r="W80" i="1"/>
  <c r="Y80" i="1" s="1"/>
  <c r="W72" i="1"/>
  <c r="Y72" i="1" s="1"/>
  <c r="W64" i="1"/>
  <c r="Y64" i="1" s="1"/>
  <c r="W56" i="1"/>
  <c r="Y56" i="1" s="1"/>
  <c r="W48" i="1"/>
  <c r="Y48" i="1" s="1"/>
  <c r="W40" i="1"/>
  <c r="Y40" i="1" s="1"/>
  <c r="W32" i="1"/>
  <c r="Y32" i="1" s="1"/>
  <c r="W24" i="1"/>
  <c r="Y24" i="1" s="1"/>
  <c r="W16" i="1"/>
  <c r="Y16" i="1" s="1"/>
  <c r="W8" i="1"/>
  <c r="Y8" i="1" s="1"/>
  <c r="W2" i="1"/>
  <c r="Y2" i="1" s="1"/>
  <c r="V329" i="1"/>
  <c r="X329" i="1" s="1"/>
  <c r="V321" i="1"/>
  <c r="X321" i="1" s="1"/>
  <c r="V313" i="1"/>
  <c r="X313" i="1" s="1"/>
  <c r="V305" i="1"/>
  <c r="X305" i="1" s="1"/>
  <c r="V297" i="1"/>
  <c r="X297" i="1" s="1"/>
  <c r="V289" i="1"/>
  <c r="X289" i="1" s="1"/>
  <c r="V281" i="1"/>
  <c r="X281" i="1" s="1"/>
  <c r="V273" i="1"/>
  <c r="X273" i="1" s="1"/>
  <c r="V265" i="1"/>
  <c r="X265" i="1" s="1"/>
  <c r="V257" i="1"/>
  <c r="X257" i="1" s="1"/>
  <c r="V249" i="1"/>
  <c r="X249" i="1" s="1"/>
  <c r="V241" i="1"/>
  <c r="X241" i="1" s="1"/>
  <c r="V233" i="1"/>
  <c r="X233" i="1" s="1"/>
  <c r="V225" i="1"/>
  <c r="X225" i="1" s="1"/>
  <c r="V217" i="1"/>
  <c r="X217" i="1" s="1"/>
  <c r="V209" i="1"/>
  <c r="X209" i="1" s="1"/>
  <c r="V201" i="1"/>
  <c r="X201" i="1" s="1"/>
  <c r="V193" i="1"/>
  <c r="X193" i="1" s="1"/>
  <c r="V185" i="1"/>
  <c r="X185" i="1" s="1"/>
  <c r="V177" i="1"/>
  <c r="X177" i="1" s="1"/>
  <c r="V169" i="1"/>
  <c r="X169" i="1" s="1"/>
  <c r="V161" i="1"/>
  <c r="X161" i="1" s="1"/>
  <c r="V153" i="1"/>
  <c r="X153" i="1" s="1"/>
  <c r="V145" i="1"/>
  <c r="X145" i="1" s="1"/>
  <c r="V137" i="1"/>
  <c r="X137" i="1" s="1"/>
  <c r="V129" i="1"/>
  <c r="X129" i="1" s="1"/>
  <c r="V121" i="1"/>
  <c r="X121" i="1" s="1"/>
  <c r="V113" i="1"/>
  <c r="X113" i="1" s="1"/>
  <c r="V105" i="1"/>
  <c r="X105" i="1" s="1"/>
  <c r="V97" i="1"/>
  <c r="X97" i="1" s="1"/>
  <c r="V89" i="1"/>
  <c r="X89" i="1" s="1"/>
  <c r="V81" i="1"/>
  <c r="X81" i="1" s="1"/>
  <c r="V73" i="1"/>
  <c r="X73" i="1" s="1"/>
  <c r="V65" i="1"/>
  <c r="X65" i="1" s="1"/>
  <c r="V57" i="1"/>
  <c r="X57" i="1" s="1"/>
  <c r="V49" i="1"/>
  <c r="V41" i="1"/>
  <c r="V33" i="1"/>
  <c r="V25" i="1"/>
  <c r="V17" i="1"/>
  <c r="V9" i="1"/>
  <c r="V423" i="1"/>
  <c r="X423" i="1" s="1"/>
  <c r="V415" i="1"/>
  <c r="X415" i="1" s="1"/>
  <c r="V407" i="1"/>
  <c r="X407" i="1" s="1"/>
  <c r="V399" i="1"/>
  <c r="X399" i="1" s="1"/>
  <c r="V391" i="1"/>
  <c r="X391" i="1" s="1"/>
  <c r="V383" i="1"/>
  <c r="X383" i="1" s="1"/>
  <c r="V375" i="1"/>
  <c r="X375" i="1" s="1"/>
  <c r="V367" i="1"/>
  <c r="X367" i="1" s="1"/>
  <c r="V359" i="1"/>
  <c r="X359" i="1" s="1"/>
  <c r="V351" i="1"/>
  <c r="X351" i="1" s="1"/>
  <c r="V343" i="1"/>
  <c r="X343" i="1" s="1"/>
  <c r="V335" i="1"/>
  <c r="X335" i="1" s="1"/>
  <c r="V327" i="1"/>
  <c r="X327" i="1" s="1"/>
  <c r="V319" i="1"/>
  <c r="X319" i="1" s="1"/>
  <c r="V311" i="1"/>
  <c r="X311" i="1" s="1"/>
  <c r="V303" i="1"/>
  <c r="X303" i="1" s="1"/>
  <c r="V295" i="1"/>
  <c r="X295" i="1" s="1"/>
  <c r="V287" i="1"/>
  <c r="X287" i="1" s="1"/>
  <c r="V279" i="1"/>
  <c r="X279" i="1" s="1"/>
  <c r="V271" i="1"/>
  <c r="X271" i="1" s="1"/>
  <c r="V419" i="1"/>
  <c r="X419" i="1" s="1"/>
  <c r="V411" i="1"/>
  <c r="X411" i="1" s="1"/>
  <c r="V424" i="1"/>
  <c r="X424" i="1" s="1"/>
  <c r="V416" i="1"/>
  <c r="X416" i="1" s="1"/>
  <c r="V408" i="1"/>
  <c r="X408" i="1" s="1"/>
  <c r="V400" i="1"/>
  <c r="X400" i="1" s="1"/>
  <c r="V392" i="1"/>
  <c r="X392" i="1" s="1"/>
  <c r="V384" i="1"/>
  <c r="X384" i="1" s="1"/>
  <c r="V376" i="1"/>
  <c r="X376" i="1" s="1"/>
  <c r="V368" i="1"/>
  <c r="X368" i="1" s="1"/>
  <c r="V360" i="1"/>
  <c r="X360" i="1" s="1"/>
  <c r="V352" i="1"/>
  <c r="X352" i="1" s="1"/>
  <c r="V344" i="1"/>
  <c r="X344" i="1" s="1"/>
  <c r="V336" i="1"/>
  <c r="X336" i="1" s="1"/>
  <c r="V328" i="1"/>
  <c r="X328" i="1" s="1"/>
  <c r="V320" i="1"/>
  <c r="X320" i="1" s="1"/>
  <c r="V312" i="1"/>
  <c r="X312" i="1" s="1"/>
  <c r="V304" i="1"/>
  <c r="X304" i="1" s="1"/>
  <c r="V296" i="1"/>
  <c r="X296" i="1" s="1"/>
  <c r="V288" i="1"/>
  <c r="X288" i="1" s="1"/>
  <c r="V280" i="1"/>
  <c r="X280" i="1" s="1"/>
  <c r="V272" i="1"/>
  <c r="X272" i="1" s="1"/>
  <c r="V264" i="1"/>
  <c r="X264" i="1" s="1"/>
  <c r="V256" i="1"/>
  <c r="X256" i="1" s="1"/>
  <c r="V248" i="1"/>
  <c r="X248" i="1" s="1"/>
  <c r="V240" i="1"/>
  <c r="X240" i="1" s="1"/>
  <c r="V232" i="1"/>
  <c r="X232" i="1" s="1"/>
  <c r="V224" i="1"/>
  <c r="X224" i="1" s="1"/>
  <c r="V422" i="1"/>
  <c r="X422" i="1" s="1"/>
  <c r="V414" i="1"/>
  <c r="X414" i="1" s="1"/>
  <c r="V406" i="1"/>
  <c r="X406" i="1" s="1"/>
  <c r="V398" i="1"/>
  <c r="X398" i="1" s="1"/>
  <c r="V390" i="1"/>
  <c r="X390" i="1" s="1"/>
  <c r="V382" i="1"/>
  <c r="X382" i="1" s="1"/>
  <c r="V374" i="1"/>
  <c r="X374" i="1" s="1"/>
  <c r="V366" i="1"/>
  <c r="X366" i="1" s="1"/>
  <c r="V358" i="1"/>
  <c r="X358" i="1" s="1"/>
  <c r="V350" i="1"/>
  <c r="X350" i="1" s="1"/>
  <c r="V342" i="1"/>
  <c r="X342" i="1" s="1"/>
  <c r="V334" i="1"/>
  <c r="X334" i="1" s="1"/>
  <c r="V326" i="1"/>
  <c r="X326" i="1" s="1"/>
  <c r="V318" i="1"/>
  <c r="X318" i="1" s="1"/>
  <c r="V310" i="1"/>
  <c r="X310" i="1" s="1"/>
  <c r="V302" i="1"/>
  <c r="X302" i="1" s="1"/>
  <c r="V294" i="1"/>
  <c r="X294" i="1" s="1"/>
  <c r="V286" i="1"/>
  <c r="X286" i="1" s="1"/>
  <c r="V278" i="1"/>
  <c r="X278" i="1" s="1"/>
  <c r="V270" i="1"/>
  <c r="X270" i="1" s="1"/>
  <c r="V262" i="1"/>
  <c r="X262" i="1" s="1"/>
  <c r="V254" i="1"/>
  <c r="X254" i="1" s="1"/>
  <c r="V246" i="1"/>
  <c r="X246" i="1" s="1"/>
  <c r="V238" i="1"/>
  <c r="X238" i="1" s="1"/>
  <c r="V230" i="1"/>
  <c r="X230" i="1" s="1"/>
  <c r="V222" i="1"/>
  <c r="X222" i="1" s="1"/>
  <c r="V214" i="1"/>
  <c r="X214" i="1" s="1"/>
  <c r="V206" i="1"/>
  <c r="X206" i="1" s="1"/>
  <c r="V198" i="1"/>
  <c r="X198" i="1" s="1"/>
  <c r="V190" i="1"/>
  <c r="X190" i="1" s="1"/>
  <c r="V182" i="1"/>
  <c r="X182" i="1" s="1"/>
  <c r="V174" i="1"/>
  <c r="X174" i="1" s="1"/>
  <c r="V166" i="1"/>
  <c r="X166" i="1" s="1"/>
  <c r="V158" i="1"/>
  <c r="X158" i="1" s="1"/>
  <c r="V150" i="1"/>
  <c r="X150" i="1" s="1"/>
  <c r="V142" i="1"/>
  <c r="X142" i="1" s="1"/>
  <c r="V134" i="1"/>
  <c r="X134" i="1" s="1"/>
  <c r="V126" i="1"/>
  <c r="X126" i="1" s="1"/>
  <c r="V118" i="1"/>
  <c r="X118" i="1" s="1"/>
  <c r="V110" i="1"/>
  <c r="X110" i="1" s="1"/>
  <c r="V102" i="1"/>
  <c r="X102" i="1" s="1"/>
  <c r="V94" i="1"/>
  <c r="X94" i="1" s="1"/>
  <c r="V86" i="1"/>
  <c r="X86" i="1" s="1"/>
  <c r="V78" i="1"/>
  <c r="X78" i="1" s="1"/>
  <c r="V70" i="1"/>
  <c r="X70" i="1" s="1"/>
  <c r="V62" i="1"/>
  <c r="X62" i="1" s="1"/>
  <c r="V54" i="1"/>
  <c r="X54" i="1" s="1"/>
  <c r="V46" i="1"/>
  <c r="V38" i="1"/>
  <c r="V30" i="1"/>
  <c r="V22" i="1"/>
  <c r="V14" i="1"/>
  <c r="V6" i="1"/>
  <c r="V421" i="1"/>
  <c r="X421" i="1" s="1"/>
  <c r="V413" i="1"/>
  <c r="X413" i="1" s="1"/>
  <c r="V405" i="1"/>
  <c r="X405" i="1" s="1"/>
  <c r="V397" i="1"/>
  <c r="X397" i="1" s="1"/>
  <c r="V389" i="1"/>
  <c r="X389" i="1" s="1"/>
  <c r="V381" i="1"/>
  <c r="X381" i="1" s="1"/>
  <c r="V373" i="1"/>
  <c r="X373" i="1" s="1"/>
  <c r="V365" i="1"/>
  <c r="X365" i="1" s="1"/>
  <c r="V357" i="1"/>
  <c r="X357" i="1" s="1"/>
  <c r="V349" i="1"/>
  <c r="X349" i="1" s="1"/>
  <c r="V341" i="1"/>
  <c r="X341" i="1" s="1"/>
  <c r="V333" i="1"/>
  <c r="X333" i="1" s="1"/>
  <c r="V325" i="1"/>
  <c r="X325" i="1" s="1"/>
  <c r="V317" i="1"/>
  <c r="X317" i="1" s="1"/>
  <c r="V309" i="1"/>
  <c r="X309" i="1" s="1"/>
  <c r="V301" i="1"/>
  <c r="X301" i="1" s="1"/>
  <c r="V293" i="1"/>
  <c r="X293" i="1" s="1"/>
  <c r="V285" i="1"/>
  <c r="X285" i="1" s="1"/>
  <c r="V277" i="1"/>
  <c r="X277" i="1" s="1"/>
  <c r="V269" i="1"/>
  <c r="X269" i="1" s="1"/>
  <c r="V261" i="1"/>
  <c r="X261" i="1" s="1"/>
  <c r="V253" i="1"/>
  <c r="X253" i="1" s="1"/>
  <c r="V245" i="1"/>
  <c r="X245" i="1" s="1"/>
  <c r="V237" i="1"/>
  <c r="X237" i="1" s="1"/>
  <c r="V229" i="1"/>
  <c r="X229" i="1" s="1"/>
  <c r="V221" i="1"/>
  <c r="X221" i="1" s="1"/>
  <c r="V213" i="1"/>
  <c r="X213" i="1" s="1"/>
  <c r="V205" i="1"/>
  <c r="X205" i="1" s="1"/>
  <c r="V420" i="1"/>
  <c r="X420" i="1" s="1"/>
  <c r="V412" i="1"/>
  <c r="X412" i="1" s="1"/>
  <c r="V404" i="1"/>
  <c r="X404" i="1" s="1"/>
  <c r="V396" i="1"/>
  <c r="X396" i="1" s="1"/>
  <c r="V388" i="1"/>
  <c r="X388" i="1" s="1"/>
  <c r="V380" i="1"/>
  <c r="X380" i="1" s="1"/>
  <c r="V372" i="1"/>
  <c r="X372" i="1" s="1"/>
  <c r="V364" i="1"/>
  <c r="X364" i="1" s="1"/>
  <c r="V356" i="1"/>
  <c r="X356" i="1" s="1"/>
  <c r="V348" i="1"/>
  <c r="X348" i="1" s="1"/>
  <c r="V340" i="1"/>
  <c r="X340" i="1" s="1"/>
  <c r="V332" i="1"/>
  <c r="X332" i="1" s="1"/>
  <c r="V324" i="1"/>
  <c r="X324" i="1" s="1"/>
  <c r="V316" i="1"/>
  <c r="X316" i="1" s="1"/>
  <c r="V308" i="1"/>
  <c r="X308" i="1" s="1"/>
  <c r="V300" i="1"/>
  <c r="X300" i="1" s="1"/>
  <c r="V292" i="1"/>
  <c r="X292" i="1" s="1"/>
  <c r="V284" i="1"/>
  <c r="X284" i="1" s="1"/>
  <c r="V276" i="1"/>
  <c r="X276" i="1" s="1"/>
  <c r="V268" i="1"/>
  <c r="X268" i="1" s="1"/>
  <c r="V260" i="1"/>
  <c r="X260" i="1" s="1"/>
  <c r="V252" i="1"/>
  <c r="X252" i="1" s="1"/>
  <c r="V244" i="1"/>
  <c r="X244" i="1" s="1"/>
  <c r="V236" i="1"/>
  <c r="X236" i="1" s="1"/>
  <c r="V228" i="1"/>
  <c r="X228" i="1" s="1"/>
  <c r="V220" i="1"/>
  <c r="X220" i="1" s="1"/>
  <c r="V212" i="1"/>
  <c r="X212" i="1" s="1"/>
  <c r="U427" i="1"/>
  <c r="Q427" i="1"/>
  <c r="V403" i="1"/>
  <c r="X403" i="1" s="1"/>
  <c r="V395" i="1"/>
  <c r="X395" i="1" s="1"/>
  <c r="V387" i="1"/>
  <c r="X387" i="1" s="1"/>
  <c r="V379" i="1"/>
  <c r="X379" i="1" s="1"/>
  <c r="V371" i="1"/>
  <c r="X371" i="1" s="1"/>
  <c r="V363" i="1"/>
  <c r="X363" i="1" s="1"/>
  <c r="V355" i="1"/>
  <c r="X355" i="1" s="1"/>
  <c r="V347" i="1"/>
  <c r="X347" i="1" s="1"/>
  <c r="V339" i="1"/>
  <c r="X339" i="1" s="1"/>
  <c r="V331" i="1"/>
  <c r="X331" i="1" s="1"/>
  <c r="V323" i="1"/>
  <c r="X323" i="1" s="1"/>
  <c r="V315" i="1"/>
  <c r="X315" i="1" s="1"/>
  <c r="V307" i="1"/>
  <c r="X307" i="1" s="1"/>
  <c r="V299" i="1"/>
  <c r="X299" i="1" s="1"/>
  <c r="V291" i="1"/>
  <c r="X291" i="1" s="1"/>
  <c r="V283" i="1"/>
  <c r="X283" i="1" s="1"/>
  <c r="V275" i="1"/>
  <c r="X275" i="1" s="1"/>
  <c r="V267" i="1"/>
  <c r="X267" i="1" s="1"/>
  <c r="V259" i="1"/>
  <c r="X259" i="1" s="1"/>
  <c r="V251" i="1"/>
  <c r="X251" i="1" s="1"/>
  <c r="V243" i="1"/>
  <c r="X243" i="1" s="1"/>
  <c r="V235" i="1"/>
  <c r="X235" i="1" s="1"/>
  <c r="V227" i="1"/>
  <c r="X227" i="1" s="1"/>
  <c r="V219" i="1"/>
  <c r="X219" i="1" s="1"/>
  <c r="V211" i="1"/>
  <c r="X211" i="1" s="1"/>
  <c r="V203" i="1"/>
  <c r="X203" i="1" s="1"/>
  <c r="V195" i="1"/>
  <c r="X195" i="1" s="1"/>
  <c r="V187" i="1"/>
  <c r="X187" i="1" s="1"/>
  <c r="V179" i="1"/>
  <c r="X179" i="1" s="1"/>
  <c r="V171" i="1"/>
  <c r="X171" i="1" s="1"/>
  <c r="V163" i="1"/>
  <c r="X163" i="1" s="1"/>
  <c r="V155" i="1"/>
  <c r="X155" i="1" s="1"/>
  <c r="V147" i="1"/>
  <c r="X147" i="1" s="1"/>
  <c r="V139" i="1"/>
  <c r="X139" i="1" s="1"/>
  <c r="V131" i="1"/>
  <c r="X131" i="1" s="1"/>
  <c r="V123" i="1"/>
  <c r="X123" i="1" s="1"/>
  <c r="V115" i="1"/>
  <c r="X115" i="1" s="1"/>
  <c r="V107" i="1"/>
  <c r="X107" i="1" s="1"/>
  <c r="V99" i="1"/>
  <c r="X99" i="1" s="1"/>
  <c r="V91" i="1"/>
  <c r="X91" i="1" s="1"/>
  <c r="V83" i="1"/>
  <c r="X83" i="1" s="1"/>
  <c r="V75" i="1"/>
  <c r="X75" i="1" s="1"/>
  <c r="V67" i="1"/>
  <c r="X67" i="1" s="1"/>
  <c r="V59" i="1"/>
  <c r="X59" i="1" s="1"/>
  <c r="V51" i="1"/>
  <c r="V43" i="1"/>
  <c r="V35" i="1"/>
  <c r="V27" i="1"/>
  <c r="V19" i="1"/>
  <c r="V11" i="1"/>
  <c r="V3" i="1"/>
  <c r="V216" i="1"/>
  <c r="X216" i="1" s="1"/>
  <c r="V208" i="1"/>
  <c r="X208" i="1" s="1"/>
  <c r="V200" i="1"/>
  <c r="X200" i="1" s="1"/>
  <c r="V192" i="1"/>
  <c r="X192" i="1" s="1"/>
  <c r="V184" i="1"/>
  <c r="X184" i="1" s="1"/>
  <c r="V176" i="1"/>
  <c r="X176" i="1" s="1"/>
  <c r="V168" i="1"/>
  <c r="X168" i="1" s="1"/>
  <c r="V160" i="1"/>
  <c r="X160" i="1" s="1"/>
  <c r="V152" i="1"/>
  <c r="X152" i="1" s="1"/>
  <c r="V144" i="1"/>
  <c r="X144" i="1" s="1"/>
  <c r="V136" i="1"/>
  <c r="X136" i="1" s="1"/>
  <c r="V128" i="1"/>
  <c r="X128" i="1" s="1"/>
  <c r="V120" i="1"/>
  <c r="X120" i="1" s="1"/>
  <c r="V112" i="1"/>
  <c r="X112" i="1" s="1"/>
  <c r="V104" i="1"/>
  <c r="X104" i="1" s="1"/>
  <c r="V96" i="1"/>
  <c r="X96" i="1" s="1"/>
  <c r="V88" i="1"/>
  <c r="X88" i="1" s="1"/>
  <c r="V80" i="1"/>
  <c r="X80" i="1" s="1"/>
  <c r="V72" i="1"/>
  <c r="X72" i="1" s="1"/>
  <c r="V64" i="1"/>
  <c r="X64" i="1" s="1"/>
  <c r="V56" i="1"/>
  <c r="X56" i="1" s="1"/>
  <c r="V48" i="1"/>
  <c r="V40" i="1"/>
  <c r="V32" i="1"/>
  <c r="V24" i="1"/>
  <c r="V16" i="1"/>
  <c r="V8" i="1"/>
  <c r="V263" i="1"/>
  <c r="X263" i="1" s="1"/>
  <c r="V255" i="1"/>
  <c r="X255" i="1" s="1"/>
  <c r="V247" i="1"/>
  <c r="X247" i="1" s="1"/>
  <c r="V239" i="1"/>
  <c r="X239" i="1" s="1"/>
  <c r="V231" i="1"/>
  <c r="X231" i="1" s="1"/>
  <c r="V223" i="1"/>
  <c r="X223" i="1" s="1"/>
  <c r="V215" i="1"/>
  <c r="X215" i="1" s="1"/>
  <c r="V207" i="1"/>
  <c r="X207" i="1" s="1"/>
  <c r="V199" i="1"/>
  <c r="X199" i="1" s="1"/>
  <c r="V191" i="1"/>
  <c r="X191" i="1" s="1"/>
  <c r="V183" i="1"/>
  <c r="X183" i="1" s="1"/>
  <c r="V175" i="1"/>
  <c r="X175" i="1" s="1"/>
  <c r="V167" i="1"/>
  <c r="X167" i="1" s="1"/>
  <c r="V159" i="1"/>
  <c r="X159" i="1" s="1"/>
  <c r="V151" i="1"/>
  <c r="X151" i="1" s="1"/>
  <c r="V143" i="1"/>
  <c r="X143" i="1" s="1"/>
  <c r="V135" i="1"/>
  <c r="X135" i="1" s="1"/>
  <c r="V127" i="1"/>
  <c r="X127" i="1" s="1"/>
  <c r="V119" i="1"/>
  <c r="X119" i="1" s="1"/>
  <c r="V111" i="1"/>
  <c r="X111" i="1" s="1"/>
  <c r="V103" i="1"/>
  <c r="X103" i="1" s="1"/>
  <c r="V95" i="1"/>
  <c r="X95" i="1" s="1"/>
  <c r="V87" i="1"/>
  <c r="X87" i="1" s="1"/>
  <c r="V79" i="1"/>
  <c r="X79" i="1" s="1"/>
  <c r="V71" i="1"/>
  <c r="X71" i="1" s="1"/>
  <c r="V63" i="1"/>
  <c r="X63" i="1" s="1"/>
  <c r="V55" i="1"/>
  <c r="X55" i="1" s="1"/>
  <c r="V47" i="1"/>
  <c r="V39" i="1"/>
  <c r="V31" i="1"/>
  <c r="V15" i="1"/>
  <c r="V7" i="1"/>
  <c r="V197" i="1"/>
  <c r="X197" i="1" s="1"/>
  <c r="V189" i="1"/>
  <c r="X189" i="1" s="1"/>
  <c r="V181" i="1"/>
  <c r="X181" i="1" s="1"/>
  <c r="V173" i="1"/>
  <c r="X173" i="1" s="1"/>
  <c r="V165" i="1"/>
  <c r="X165" i="1" s="1"/>
  <c r="V157" i="1"/>
  <c r="X157" i="1" s="1"/>
  <c r="V149" i="1"/>
  <c r="X149" i="1" s="1"/>
  <c r="V141" i="1"/>
  <c r="X141" i="1" s="1"/>
  <c r="V133" i="1"/>
  <c r="X133" i="1" s="1"/>
  <c r="V125" i="1"/>
  <c r="X125" i="1" s="1"/>
  <c r="V117" i="1"/>
  <c r="X117" i="1" s="1"/>
  <c r="V109" i="1"/>
  <c r="X109" i="1" s="1"/>
  <c r="V101" i="1"/>
  <c r="X101" i="1" s="1"/>
  <c r="V93" i="1"/>
  <c r="X93" i="1" s="1"/>
  <c r="V85" i="1"/>
  <c r="X85" i="1" s="1"/>
  <c r="V77" i="1"/>
  <c r="X77" i="1" s="1"/>
  <c r="V69" i="1"/>
  <c r="X69" i="1" s="1"/>
  <c r="V61" i="1"/>
  <c r="X61" i="1" s="1"/>
  <c r="V53" i="1"/>
  <c r="V45" i="1"/>
  <c r="V37" i="1"/>
  <c r="V29" i="1"/>
  <c r="V21" i="1"/>
  <c r="V13" i="1"/>
  <c r="V5" i="1"/>
  <c r="V204" i="1"/>
  <c r="X204" i="1" s="1"/>
  <c r="V196" i="1"/>
  <c r="X196" i="1" s="1"/>
  <c r="V188" i="1"/>
  <c r="X188" i="1" s="1"/>
  <c r="V180" i="1"/>
  <c r="X180" i="1" s="1"/>
  <c r="V172" i="1"/>
  <c r="X172" i="1" s="1"/>
  <c r="V164" i="1"/>
  <c r="X164" i="1" s="1"/>
  <c r="V156" i="1"/>
  <c r="X156" i="1" s="1"/>
  <c r="V148" i="1"/>
  <c r="X148" i="1" s="1"/>
  <c r="V140" i="1"/>
  <c r="X140" i="1" s="1"/>
  <c r="V132" i="1"/>
  <c r="X132" i="1" s="1"/>
  <c r="V124" i="1"/>
  <c r="X124" i="1" s="1"/>
  <c r="V116" i="1"/>
  <c r="X116" i="1" s="1"/>
  <c r="V108" i="1"/>
  <c r="X108" i="1" s="1"/>
  <c r="V100" i="1"/>
  <c r="X100" i="1" s="1"/>
  <c r="V92" i="1"/>
  <c r="X92" i="1" s="1"/>
  <c r="V84" i="1"/>
  <c r="X84" i="1" s="1"/>
  <c r="V76" i="1"/>
  <c r="X76" i="1" s="1"/>
  <c r="V68" i="1"/>
  <c r="X68" i="1" s="1"/>
  <c r="V60" i="1"/>
  <c r="X60" i="1" s="1"/>
  <c r="V52" i="1"/>
  <c r="V44" i="1"/>
  <c r="V36" i="1"/>
  <c r="V28" i="1"/>
  <c r="V20" i="1"/>
  <c r="V12" i="1"/>
  <c r="V4" i="1"/>
  <c r="P427" i="1"/>
  <c r="R427" i="1"/>
  <c r="V418" i="1"/>
  <c r="X418" i="1" s="1"/>
  <c r="V410" i="1"/>
  <c r="X410" i="1" s="1"/>
  <c r="V402" i="1"/>
  <c r="X402" i="1" s="1"/>
  <c r="V394" i="1"/>
  <c r="X394" i="1" s="1"/>
  <c r="V386" i="1"/>
  <c r="X386" i="1" s="1"/>
  <c r="V378" i="1"/>
  <c r="X378" i="1" s="1"/>
  <c r="V370" i="1"/>
  <c r="X370" i="1" s="1"/>
  <c r="V362" i="1"/>
  <c r="X362" i="1" s="1"/>
  <c r="V354" i="1"/>
  <c r="X354" i="1" s="1"/>
  <c r="V346" i="1"/>
  <c r="X346" i="1" s="1"/>
  <c r="V338" i="1"/>
  <c r="X338" i="1" s="1"/>
  <c r="V330" i="1"/>
  <c r="X330" i="1" s="1"/>
  <c r="V322" i="1"/>
  <c r="X322" i="1" s="1"/>
  <c r="V314" i="1"/>
  <c r="X314" i="1" s="1"/>
  <c r="V306" i="1"/>
  <c r="X306" i="1" s="1"/>
  <c r="V298" i="1"/>
  <c r="X298" i="1" s="1"/>
  <c r="V290" i="1"/>
  <c r="X290" i="1" s="1"/>
  <c r="V282" i="1"/>
  <c r="X282" i="1" s="1"/>
  <c r="V274" i="1"/>
  <c r="X274" i="1" s="1"/>
  <c r="V266" i="1"/>
  <c r="X266" i="1" s="1"/>
  <c r="V258" i="1"/>
  <c r="X258" i="1" s="1"/>
  <c r="V250" i="1"/>
  <c r="X250" i="1" s="1"/>
  <c r="V242" i="1"/>
  <c r="X242" i="1" s="1"/>
  <c r="V234" i="1"/>
  <c r="X234" i="1" s="1"/>
  <c r="V226" i="1"/>
  <c r="X226" i="1" s="1"/>
  <c r="V218" i="1"/>
  <c r="X218" i="1" s="1"/>
  <c r="V210" i="1"/>
  <c r="X210" i="1" s="1"/>
  <c r="V202" i="1"/>
  <c r="X202" i="1" s="1"/>
  <c r="V194" i="1"/>
  <c r="X194" i="1" s="1"/>
  <c r="V186" i="1"/>
  <c r="X186" i="1" s="1"/>
  <c r="V178" i="1"/>
  <c r="X178" i="1" s="1"/>
  <c r="V170" i="1"/>
  <c r="X170" i="1" s="1"/>
  <c r="V162" i="1"/>
  <c r="X162" i="1" s="1"/>
  <c r="V154" i="1"/>
  <c r="X154" i="1" s="1"/>
  <c r="V146" i="1"/>
  <c r="X146" i="1" s="1"/>
  <c r="V138" i="1"/>
  <c r="X138" i="1" s="1"/>
  <c r="V130" i="1"/>
  <c r="X130" i="1" s="1"/>
  <c r="V122" i="1"/>
  <c r="X122" i="1" s="1"/>
  <c r="V114" i="1"/>
  <c r="X114" i="1" s="1"/>
  <c r="V106" i="1"/>
  <c r="X106" i="1" s="1"/>
  <c r="V98" i="1"/>
  <c r="X98" i="1" s="1"/>
  <c r="V90" i="1"/>
  <c r="X90" i="1" s="1"/>
  <c r="V82" i="1"/>
  <c r="X82" i="1" s="1"/>
  <c r="V74" i="1"/>
  <c r="X74" i="1" s="1"/>
  <c r="V66" i="1"/>
  <c r="X66" i="1" s="1"/>
  <c r="V58" i="1"/>
  <c r="X58" i="1" s="1"/>
  <c r="V50" i="1"/>
  <c r="V42" i="1"/>
  <c r="V34" i="1"/>
  <c r="V26" i="1"/>
  <c r="V18" i="1"/>
  <c r="V10" i="1"/>
  <c r="S427" i="1"/>
  <c r="V425" i="1"/>
  <c r="X425" i="1" s="1"/>
  <c r="V417" i="1"/>
  <c r="X417" i="1" s="1"/>
  <c r="V409" i="1"/>
  <c r="X409" i="1" s="1"/>
  <c r="V401" i="1"/>
  <c r="X401" i="1" s="1"/>
  <c r="V393" i="1"/>
  <c r="X393" i="1" s="1"/>
  <c r="V385" i="1"/>
  <c r="X385" i="1" s="1"/>
  <c r="V377" i="1"/>
  <c r="X377" i="1" s="1"/>
  <c r="V369" i="1"/>
  <c r="X369" i="1" s="1"/>
  <c r="V361" i="1"/>
  <c r="X361" i="1" s="1"/>
  <c r="V353" i="1"/>
  <c r="X353" i="1" s="1"/>
  <c r="V345" i="1"/>
  <c r="X345" i="1" s="1"/>
  <c r="V337" i="1"/>
  <c r="X337" i="1" s="1"/>
  <c r="T427" i="1"/>
  <c r="V23" i="1"/>
  <c r="X427" i="1" l="1"/>
  <c r="W427" i="1"/>
  <c r="Y427" i="1"/>
  <c r="V427" i="1"/>
</calcChain>
</file>

<file path=xl/sharedStrings.xml><?xml version="1.0" encoding="utf-8"?>
<sst xmlns="http://schemas.openxmlformats.org/spreadsheetml/2006/main" count="26" uniqueCount="26">
  <si>
    <t>log t(yr)</t>
  </si>
  <si>
    <t>Teff</t>
  </si>
  <si>
    <t>L/Ls</t>
  </si>
  <si>
    <t>Mrad</t>
  </si>
  <si>
    <t>Rrad</t>
  </si>
  <si>
    <t>k2conv</t>
  </si>
  <si>
    <t>k2rad</t>
  </si>
  <si>
    <t>g</t>
  </si>
  <si>
    <t>R/Rs</t>
  </si>
  <si>
    <t>log(Li/Li0)</t>
  </si>
  <si>
    <t>log ROc</t>
  </si>
  <si>
    <t>log Tc</t>
  </si>
  <si>
    <t>M/Ms</t>
  </si>
  <si>
    <t>=SOMA(N2:N425)</t>
  </si>
  <si>
    <t>tempo em anos (inversa do log)</t>
  </si>
  <si>
    <t>transformando de anos para segundos</t>
  </si>
  <si>
    <t>transformando R/Rs em centimetro</t>
  </si>
  <si>
    <t>transformando Rrad em centimetro</t>
  </si>
  <si>
    <t>Transfor M/ms em gramas</t>
  </si>
  <si>
    <t>Trasnf Mrad em gramas</t>
  </si>
  <si>
    <t>i_core</t>
  </si>
  <si>
    <t xml:space="preserve">velocidade inicial de cada tempo </t>
  </si>
  <si>
    <t>i_env</t>
  </si>
  <si>
    <t xml:space="preserve">i_core log </t>
  </si>
  <si>
    <t>i_env_log</t>
  </si>
  <si>
    <t>myrs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</si>
</sst>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0"/>
    <numFmt numFmtId="166" formatCode="0.00000000000"/>
    <numFmt numFmtId="167" formatCode="0.000000E+00"/>
    <numFmt numFmtId="168" formatCode="0.0000000E+00"/>
    <numFmt numFmtId="169" formatCode="0.000000000000000000000E+00"/>
    <numFmt numFmtId="170" formatCode="0.000000000000000000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7"/>
  <sheetViews>
    <sheetView tabSelected="1" zoomScale="110" zoomScaleNormal="110" workbookViewId="0">
      <selection activeCell="J6" sqref="J6"/>
    </sheetView>
  </sheetViews>
  <sheetFormatPr defaultRowHeight="15" x14ac:dyDescent="0.25"/>
  <cols>
    <col min="1" max="2" width="9.140625" style="2"/>
    <col min="3" max="3" width="13.85546875" style="6" customWidth="1"/>
    <col min="4" max="5" width="9.140625" style="2"/>
    <col min="6" max="6" width="11.85546875" style="2" bestFit="1" customWidth="1"/>
    <col min="7" max="9" width="9.140625" style="2"/>
    <col min="10" max="10" width="13.5703125" style="2" customWidth="1"/>
    <col min="11" max="13" width="9.140625" style="2"/>
    <col min="15" max="15" width="29.42578125" bestFit="1" customWidth="1"/>
    <col min="16" max="16" width="35.42578125" style="7" bestFit="1" customWidth="1"/>
    <col min="17" max="17" width="32.85546875" bestFit="1" customWidth="1"/>
    <col min="18" max="18" width="24.7109375" bestFit="1" customWidth="1"/>
    <col min="19" max="19" width="39.7109375" style="1" bestFit="1" customWidth="1"/>
    <col min="20" max="20" width="37" style="1" bestFit="1" customWidth="1"/>
    <col min="21" max="21" width="31" bestFit="1" customWidth="1"/>
    <col min="22" max="22" width="30" style="11" bestFit="1" customWidth="1"/>
    <col min="23" max="23" width="12.85546875" bestFit="1" customWidth="1"/>
    <col min="24" max="24" width="22.7109375" customWidth="1"/>
    <col min="25" max="25" width="12.85546875" bestFit="1" customWidth="1"/>
    <col min="27" max="27" width="28.5703125" bestFit="1" customWidth="1"/>
  </cols>
  <sheetData>
    <row r="1" spans="1:27" s="3" customFormat="1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10</v>
      </c>
      <c r="J1" s="3" t="s">
        <v>3</v>
      </c>
      <c r="K1" s="3" t="s">
        <v>4</v>
      </c>
      <c r="L1" s="3" t="s">
        <v>5</v>
      </c>
      <c r="M1" s="3" t="s">
        <v>6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21</v>
      </c>
      <c r="V1" s="3" t="s">
        <v>20</v>
      </c>
      <c r="W1" s="3" t="s">
        <v>22</v>
      </c>
      <c r="X1" s="3" t="s">
        <v>23</v>
      </c>
      <c r="Y1" s="3" t="s">
        <v>24</v>
      </c>
      <c r="AA1" s="3" t="s">
        <v>25</v>
      </c>
    </row>
    <row r="2" spans="1:27" x14ac:dyDescent="0.25">
      <c r="A2" s="2">
        <v>1</v>
      </c>
      <c r="B2" s="2">
        <v>5.6930630000000004</v>
      </c>
      <c r="C2" s="6">
        <v>3.6431564656197062</v>
      </c>
      <c r="D2" s="2">
        <v>0.50800000000000001</v>
      </c>
      <c r="E2" s="2">
        <v>3456</v>
      </c>
      <c r="F2" s="5">
        <v>3.0960000000000001</v>
      </c>
      <c r="G2" s="2">
        <v>0</v>
      </c>
      <c r="H2" s="2">
        <v>6.4020000000000001</v>
      </c>
      <c r="I2" s="2">
        <v>-0.53779999999999994</v>
      </c>
      <c r="J2" s="2">
        <v>0</v>
      </c>
      <c r="K2" s="2">
        <v>0</v>
      </c>
      <c r="L2" s="2">
        <v>0.44790000000000002</v>
      </c>
      <c r="M2" s="2">
        <v>0</v>
      </c>
      <c r="N2">
        <f>F2/(10^3)</f>
        <v>3.0960000000000002E-3</v>
      </c>
      <c r="O2" s="10">
        <f t="shared" ref="O2:O65" si="0">10^B2</f>
        <v>493245.35034707573</v>
      </c>
      <c r="P2" s="7">
        <f>O2*31557600</f>
        <v>15565639468112.877</v>
      </c>
      <c r="Q2">
        <f>F2*6.9634*(10^10)</f>
        <v>215586864000</v>
      </c>
      <c r="R2">
        <f>K2*6.9634*(10^10)</f>
        <v>0</v>
      </c>
      <c r="S2" s="1">
        <f>A2*1.989*(10^33)</f>
        <v>1.9890000000000001E+33</v>
      </c>
      <c r="T2" s="1">
        <f>J2*1.989*(10^33)</f>
        <v>0</v>
      </c>
      <c r="U2" s="8">
        <f t="shared" ref="U2:U65" si="1">(2*PI())/P2</f>
        <v>4.036573839482187E-13</v>
      </c>
      <c r="V2" s="11">
        <f t="shared" ref="V2:V65" si="2">M2*S2*(Q2^2)</f>
        <v>0</v>
      </c>
      <c r="W2" s="1">
        <f t="shared" ref="W2:W65" si="3">L2*S2*(Q2^2)</f>
        <v>4.1405729053441424E+55</v>
      </c>
      <c r="X2">
        <v>0</v>
      </c>
      <c r="Y2">
        <f>LOG(W2)</f>
        <v>55.617060435907298</v>
      </c>
      <c r="AA2" s="10">
        <f>O2/(1*1000000)</f>
        <v>0.49324535034707573</v>
      </c>
    </row>
    <row r="3" spans="1:27" x14ac:dyDescent="0.25">
      <c r="A3" s="2">
        <v>1</v>
      </c>
      <c r="B3" s="2">
        <v>5.6997309999999999</v>
      </c>
      <c r="C3" s="6">
        <v>3.6431564656197062</v>
      </c>
      <c r="D3" s="2">
        <v>0.503</v>
      </c>
      <c r="E3" s="2">
        <v>3461</v>
      </c>
      <c r="F3" s="2">
        <v>3.0790000000000002</v>
      </c>
      <c r="G3" s="2">
        <v>0</v>
      </c>
      <c r="H3" s="2">
        <v>6.4039999999999999</v>
      </c>
      <c r="I3" s="2">
        <v>-0.53080000000000005</v>
      </c>
      <c r="J3" s="2">
        <v>0</v>
      </c>
      <c r="K3" s="2">
        <v>0</v>
      </c>
      <c r="L3" s="2">
        <v>0.44800000000000001</v>
      </c>
      <c r="M3" s="2">
        <v>0</v>
      </c>
      <c r="N3">
        <f t="shared" ref="N3:N66" si="4">F3/(10^3)</f>
        <v>3.0790000000000001E-3</v>
      </c>
      <c r="O3" s="7">
        <f t="shared" si="0"/>
        <v>500876.89668578695</v>
      </c>
      <c r="P3" s="7">
        <f t="shared" ref="P3:P66" si="5">O3*31557600</f>
        <v>15806472754851.391</v>
      </c>
      <c r="Q3">
        <f t="shared" ref="Q3:Q66" si="6">F3*6.9634*(10^10)</f>
        <v>214403086000.00003</v>
      </c>
      <c r="R3">
        <f t="shared" ref="R3:R66" si="7">K3*6.9634*(10^10)</f>
        <v>0</v>
      </c>
      <c r="S3" s="1">
        <f t="shared" ref="S3:S66" si="8">A3*1.989*(10^33)</f>
        <v>1.9890000000000001E+33</v>
      </c>
      <c r="T3" s="1">
        <f t="shared" ref="T3:T66" si="9">J3*1.989*(10^33)</f>
        <v>0</v>
      </c>
      <c r="U3" s="8">
        <f t="shared" si="1"/>
        <v>3.9750711019643037E-13</v>
      </c>
      <c r="V3" s="11">
        <f t="shared" si="2"/>
        <v>0</v>
      </c>
      <c r="W3" s="1">
        <f t="shared" si="3"/>
        <v>4.0961406553310773E+55</v>
      </c>
      <c r="X3">
        <v>0</v>
      </c>
      <c r="Y3">
        <f t="shared" ref="Y3:Y66" si="10">LOG(W3)</f>
        <v>55.612374861245442</v>
      </c>
      <c r="AA3" s="10">
        <f t="shared" ref="AA3:AA66" si="11">O3/(1*1000000)</f>
        <v>0.50087689668578694</v>
      </c>
    </row>
    <row r="4" spans="1:27" x14ac:dyDescent="0.25">
      <c r="A4" s="2">
        <v>1</v>
      </c>
      <c r="B4" s="2">
        <v>5.713101</v>
      </c>
      <c r="C4" s="6">
        <v>3.643057683751453</v>
      </c>
      <c r="D4" s="2">
        <v>0.49299999999999999</v>
      </c>
      <c r="E4" s="2">
        <v>3470</v>
      </c>
      <c r="F4" s="2">
        <v>3.0449999999999999</v>
      </c>
      <c r="G4" s="2">
        <v>0</v>
      </c>
      <c r="H4" s="2">
        <v>6.4089999999999998</v>
      </c>
      <c r="I4" s="2">
        <v>-0.51670000000000005</v>
      </c>
      <c r="J4" s="2">
        <v>0</v>
      </c>
      <c r="K4" s="2">
        <v>0</v>
      </c>
      <c r="L4" s="2">
        <v>0.4481</v>
      </c>
      <c r="M4" s="2">
        <v>0</v>
      </c>
      <c r="N4">
        <f t="shared" si="4"/>
        <v>3.045E-3</v>
      </c>
      <c r="O4" s="7">
        <f t="shared" si="0"/>
        <v>516536.48159425682</v>
      </c>
      <c r="P4" s="7">
        <f t="shared" si="5"/>
        <v>16300651671558.92</v>
      </c>
      <c r="Q4">
        <f t="shared" si="6"/>
        <v>212035530000</v>
      </c>
      <c r="R4">
        <f t="shared" si="7"/>
        <v>0</v>
      </c>
      <c r="S4" s="1">
        <f t="shared" si="8"/>
        <v>1.9890000000000001E+33</v>
      </c>
      <c r="T4" s="1">
        <f t="shared" si="9"/>
        <v>0</v>
      </c>
      <c r="U4" s="8">
        <f t="shared" si="1"/>
        <v>3.8545608076162827E-13</v>
      </c>
      <c r="V4" s="11">
        <f t="shared" si="2"/>
        <v>0</v>
      </c>
      <c r="W4" s="1">
        <f t="shared" si="3"/>
        <v>4.0070707201276007E+55</v>
      </c>
      <c r="X4">
        <v>0</v>
      </c>
      <c r="Y4">
        <f t="shared" si="10"/>
        <v>55.602827007291737</v>
      </c>
      <c r="AA4" s="10">
        <f t="shared" si="11"/>
        <v>0.5165364815942568</v>
      </c>
    </row>
    <row r="5" spans="1:27" x14ac:dyDescent="0.25">
      <c r="A5" s="2">
        <v>1</v>
      </c>
      <c r="B5" s="2">
        <v>5.7198000000000002</v>
      </c>
      <c r="C5" s="6">
        <v>3.643057683751453</v>
      </c>
      <c r="D5" s="2">
        <v>0.48799999999999999</v>
      </c>
      <c r="E5" s="2">
        <v>3475</v>
      </c>
      <c r="F5" s="2">
        <v>3.0289999999999999</v>
      </c>
      <c r="G5" s="2">
        <v>0</v>
      </c>
      <c r="H5" s="2">
        <v>6.4119999999999999</v>
      </c>
      <c r="I5" s="2">
        <v>-0.50970000000000004</v>
      </c>
      <c r="J5" s="2">
        <v>0</v>
      </c>
      <c r="K5" s="2">
        <v>0</v>
      </c>
      <c r="L5" s="2">
        <v>0.4481</v>
      </c>
      <c r="M5" s="2">
        <v>0</v>
      </c>
      <c r="N5">
        <f t="shared" si="4"/>
        <v>3.029E-3</v>
      </c>
      <c r="O5" s="7">
        <f t="shared" si="0"/>
        <v>524565.83312381315</v>
      </c>
      <c r="P5" s="7">
        <f t="shared" si="5"/>
        <v>16554038735388.045</v>
      </c>
      <c r="Q5">
        <f t="shared" si="6"/>
        <v>210921385999.99997</v>
      </c>
      <c r="R5">
        <f t="shared" si="7"/>
        <v>0</v>
      </c>
      <c r="S5" s="1">
        <f t="shared" si="8"/>
        <v>1.9890000000000001E+33</v>
      </c>
      <c r="T5" s="1">
        <f t="shared" si="9"/>
        <v>0</v>
      </c>
      <c r="U5" s="8">
        <f t="shared" si="1"/>
        <v>3.7955603509298548E-13</v>
      </c>
      <c r="V5" s="11">
        <f t="shared" si="2"/>
        <v>0</v>
      </c>
      <c r="W5" s="1">
        <f t="shared" si="3"/>
        <v>3.9650709238732885E+55</v>
      </c>
      <c r="X5">
        <v>0</v>
      </c>
      <c r="Y5">
        <f t="shared" si="10"/>
        <v>55.598250960019655</v>
      </c>
      <c r="AA5" s="10">
        <f t="shared" si="11"/>
        <v>0.52456583312381311</v>
      </c>
    </row>
    <row r="6" spans="1:27" x14ac:dyDescent="0.25">
      <c r="A6" s="2">
        <v>1</v>
      </c>
      <c r="B6" s="2">
        <v>5.7332320000000001</v>
      </c>
      <c r="C6" s="6">
        <v>3.6429588794097909</v>
      </c>
      <c r="D6" s="2">
        <v>0.47899999999999998</v>
      </c>
      <c r="E6" s="2">
        <v>3485</v>
      </c>
      <c r="F6" s="2">
        <v>2.9950000000000001</v>
      </c>
      <c r="G6" s="2">
        <v>0</v>
      </c>
      <c r="H6" s="2">
        <v>6.4160000000000004</v>
      </c>
      <c r="I6" s="2">
        <v>-0.49559999999999998</v>
      </c>
      <c r="J6" s="2">
        <v>0</v>
      </c>
      <c r="K6" s="2">
        <v>0</v>
      </c>
      <c r="L6" s="2">
        <v>0.44819999999999999</v>
      </c>
      <c r="M6" s="2">
        <v>0</v>
      </c>
      <c r="N6">
        <f t="shared" si="4"/>
        <v>2.9950000000000003E-3</v>
      </c>
      <c r="O6" s="7">
        <f t="shared" si="0"/>
        <v>541043.27093625453</v>
      </c>
      <c r="P6" s="7">
        <f t="shared" si="5"/>
        <v>17074027126897.945</v>
      </c>
      <c r="Q6">
        <f t="shared" si="6"/>
        <v>208553830000</v>
      </c>
      <c r="R6">
        <f t="shared" si="7"/>
        <v>0</v>
      </c>
      <c r="S6" s="1">
        <f t="shared" si="8"/>
        <v>1.9890000000000001E+33</v>
      </c>
      <c r="T6" s="1">
        <f t="shared" si="9"/>
        <v>0</v>
      </c>
      <c r="U6" s="8">
        <f t="shared" si="1"/>
        <v>3.6799668060039751E-13</v>
      </c>
      <c r="V6" s="11">
        <f t="shared" si="2"/>
        <v>0</v>
      </c>
      <c r="W6" s="1">
        <f t="shared" si="3"/>
        <v>3.8774211516896591E+55</v>
      </c>
      <c r="X6">
        <v>0</v>
      </c>
      <c r="Y6">
        <f t="shared" si="10"/>
        <v>55.588542975090604</v>
      </c>
      <c r="AA6" s="10">
        <f t="shared" si="11"/>
        <v>0.54104327093625448</v>
      </c>
    </row>
    <row r="7" spans="1:27" x14ac:dyDescent="0.25">
      <c r="A7" s="2">
        <v>1</v>
      </c>
      <c r="B7" s="2">
        <v>5.7399610000000001</v>
      </c>
      <c r="C7" s="6">
        <v>3.6429588794097909</v>
      </c>
      <c r="D7" s="2">
        <v>0.47399999999999998</v>
      </c>
      <c r="E7" s="2">
        <v>3489</v>
      </c>
      <c r="F7" s="2">
        <v>2.9790000000000001</v>
      </c>
      <c r="G7" s="2">
        <v>0</v>
      </c>
      <c r="H7" s="2">
        <v>6.4180000000000001</v>
      </c>
      <c r="I7" s="2">
        <v>-0.48859999999999998</v>
      </c>
      <c r="J7" s="2">
        <v>0</v>
      </c>
      <c r="K7" s="2">
        <v>0</v>
      </c>
      <c r="L7" s="2">
        <v>0.44819999999999999</v>
      </c>
      <c r="M7" s="2">
        <v>0</v>
      </c>
      <c r="N7">
        <f t="shared" si="4"/>
        <v>2.9789999999999999E-3</v>
      </c>
      <c r="O7" s="7">
        <f t="shared" si="0"/>
        <v>549491.52685301832</v>
      </c>
      <c r="P7" s="7">
        <f t="shared" si="5"/>
        <v>17340633807816.811</v>
      </c>
      <c r="Q7">
        <f t="shared" si="6"/>
        <v>207439686000.00003</v>
      </c>
      <c r="R7">
        <f t="shared" si="7"/>
        <v>0</v>
      </c>
      <c r="S7" s="1">
        <f t="shared" si="8"/>
        <v>1.9890000000000001E+33</v>
      </c>
      <c r="T7" s="1">
        <f t="shared" si="9"/>
        <v>0</v>
      </c>
      <c r="U7" s="8">
        <f t="shared" si="1"/>
        <v>3.6233884971074426E-13</v>
      </c>
      <c r="V7" s="11">
        <f t="shared" si="2"/>
        <v>0</v>
      </c>
      <c r="W7" s="1">
        <f t="shared" si="3"/>
        <v>3.8361036053770129E+55</v>
      </c>
      <c r="X7">
        <v>0</v>
      </c>
      <c r="Y7">
        <f t="shared" si="10"/>
        <v>55.583890328070034</v>
      </c>
      <c r="AA7" s="10">
        <f t="shared" si="11"/>
        <v>0.54949152685301828</v>
      </c>
    </row>
    <row r="8" spans="1:27" x14ac:dyDescent="0.25">
      <c r="A8" s="2">
        <v>1</v>
      </c>
      <c r="B8" s="2">
        <v>5.7534489999999998</v>
      </c>
      <c r="C8" s="6">
        <v>3.6428600525844916</v>
      </c>
      <c r="D8" s="2">
        <v>0.46400000000000002</v>
      </c>
      <c r="E8" s="2">
        <v>3499</v>
      </c>
      <c r="F8" s="2">
        <v>2.9460000000000002</v>
      </c>
      <c r="G8" s="2">
        <v>0</v>
      </c>
      <c r="H8" s="2">
        <v>6.423</v>
      </c>
      <c r="I8" s="2">
        <v>-0.47460000000000002</v>
      </c>
      <c r="J8" s="2">
        <v>0</v>
      </c>
      <c r="K8" s="2">
        <v>0</v>
      </c>
      <c r="L8" s="2">
        <v>0.44830000000000003</v>
      </c>
      <c r="M8" s="2">
        <v>0</v>
      </c>
      <c r="N8">
        <f t="shared" si="4"/>
        <v>2.9460000000000003E-3</v>
      </c>
      <c r="O8" s="7">
        <f t="shared" si="0"/>
        <v>566825.00431164342</v>
      </c>
      <c r="P8" s="7">
        <f t="shared" si="5"/>
        <v>17887636756065.117</v>
      </c>
      <c r="Q8">
        <f t="shared" si="6"/>
        <v>205141764000</v>
      </c>
      <c r="R8">
        <f t="shared" si="7"/>
        <v>0</v>
      </c>
      <c r="S8" s="1">
        <f t="shared" si="8"/>
        <v>1.9890000000000001E+33</v>
      </c>
      <c r="T8" s="1">
        <f t="shared" si="9"/>
        <v>0</v>
      </c>
      <c r="U8" s="8">
        <f t="shared" si="1"/>
        <v>3.512585476138519E-13</v>
      </c>
      <c r="V8" s="11">
        <f t="shared" si="2"/>
        <v>0</v>
      </c>
      <c r="W8" s="1">
        <f t="shared" si="3"/>
        <v>3.7524221711244716E+55</v>
      </c>
      <c r="X8">
        <v>0</v>
      </c>
      <c r="Y8">
        <f t="shared" si="10"/>
        <v>55.57431169331992</v>
      </c>
      <c r="AA8" s="10">
        <f t="shared" si="11"/>
        <v>0.5668250043116434</v>
      </c>
    </row>
    <row r="9" spans="1:27" x14ac:dyDescent="0.25">
      <c r="A9" s="2">
        <v>1</v>
      </c>
      <c r="B9" s="2">
        <v>5.7602080000000004</v>
      </c>
      <c r="C9" s="6">
        <v>3.6428600525844916</v>
      </c>
      <c r="D9" s="2">
        <v>0.45900000000000002</v>
      </c>
      <c r="E9" s="2">
        <v>3504</v>
      </c>
      <c r="F9" s="2">
        <v>2.93</v>
      </c>
      <c r="G9" s="2">
        <v>0</v>
      </c>
      <c r="H9" s="2">
        <v>6.4260000000000002</v>
      </c>
      <c r="I9" s="2">
        <v>-0.46750000000000003</v>
      </c>
      <c r="J9" s="2">
        <v>0</v>
      </c>
      <c r="K9" s="2">
        <v>0</v>
      </c>
      <c r="L9" s="2">
        <v>0.44839999999999997</v>
      </c>
      <c r="M9" s="2">
        <v>0</v>
      </c>
      <c r="N9">
        <f t="shared" si="4"/>
        <v>2.9300000000000003E-3</v>
      </c>
      <c r="O9" s="7">
        <f t="shared" si="0"/>
        <v>575715.60322498018</v>
      </c>
      <c r="P9" s="7">
        <f t="shared" si="5"/>
        <v>18168202720332.633</v>
      </c>
      <c r="Q9">
        <f t="shared" si="6"/>
        <v>204027620000.00003</v>
      </c>
      <c r="R9">
        <f t="shared" si="7"/>
        <v>0</v>
      </c>
      <c r="S9" s="1">
        <f t="shared" si="8"/>
        <v>1.9890000000000001E+33</v>
      </c>
      <c r="T9" s="1">
        <f t="shared" si="9"/>
        <v>0</v>
      </c>
      <c r="U9" s="8">
        <f t="shared" si="1"/>
        <v>3.4583416994504731E-13</v>
      </c>
      <c r="V9" s="11">
        <f t="shared" si="2"/>
        <v>0</v>
      </c>
      <c r="W9" s="1">
        <f t="shared" si="3"/>
        <v>3.7126013142283744E+55</v>
      </c>
      <c r="X9">
        <v>0</v>
      </c>
      <c r="Y9">
        <f t="shared" si="10"/>
        <v>55.569678314072057</v>
      </c>
      <c r="AA9" s="10">
        <f t="shared" si="11"/>
        <v>0.57571560322498017</v>
      </c>
    </row>
    <row r="10" spans="1:27" x14ac:dyDescent="0.25">
      <c r="A10" s="2">
        <v>1</v>
      </c>
      <c r="B10" s="2">
        <v>5.773752</v>
      </c>
      <c r="C10" s="6">
        <v>3.6427612032653203</v>
      </c>
      <c r="D10" s="2">
        <v>0.44900000000000001</v>
      </c>
      <c r="E10" s="2">
        <v>3513</v>
      </c>
      <c r="F10" s="2">
        <v>2.8980000000000001</v>
      </c>
      <c r="G10" s="2">
        <v>0</v>
      </c>
      <c r="H10" s="2">
        <v>6.43</v>
      </c>
      <c r="I10" s="2">
        <v>-0.45350000000000001</v>
      </c>
      <c r="J10" s="2">
        <v>0</v>
      </c>
      <c r="K10" s="2">
        <v>0</v>
      </c>
      <c r="L10" s="2">
        <v>0.44850000000000001</v>
      </c>
      <c r="M10" s="2">
        <v>0</v>
      </c>
      <c r="N10">
        <f t="shared" si="4"/>
        <v>2.898E-3</v>
      </c>
      <c r="O10" s="7">
        <f t="shared" si="0"/>
        <v>593952.89024308778</v>
      </c>
      <c r="P10" s="7">
        <f t="shared" si="5"/>
        <v>18743727729135.266</v>
      </c>
      <c r="Q10">
        <f t="shared" si="6"/>
        <v>201799332000</v>
      </c>
      <c r="R10">
        <f t="shared" si="7"/>
        <v>0</v>
      </c>
      <c r="S10" s="1">
        <f t="shared" si="8"/>
        <v>1.9890000000000001E+33</v>
      </c>
      <c r="T10" s="1">
        <f t="shared" si="9"/>
        <v>0</v>
      </c>
      <c r="U10" s="8">
        <f t="shared" si="1"/>
        <v>3.3521535299581831E-13</v>
      </c>
      <c r="V10" s="11">
        <f t="shared" si="2"/>
        <v>0</v>
      </c>
      <c r="W10" s="1">
        <f t="shared" si="3"/>
        <v>3.6327597670447746E+55</v>
      </c>
      <c r="X10">
        <v>0</v>
      </c>
      <c r="Y10">
        <f t="shared" si="10"/>
        <v>55.560236679091325</v>
      </c>
      <c r="AA10" s="10">
        <f t="shared" si="11"/>
        <v>0.59395289024308773</v>
      </c>
    </row>
    <row r="11" spans="1:27" x14ac:dyDescent="0.25">
      <c r="A11" s="2">
        <v>1</v>
      </c>
      <c r="B11" s="2">
        <v>5.780538</v>
      </c>
      <c r="C11" s="6">
        <v>3.6427612032653203</v>
      </c>
      <c r="D11" s="2">
        <v>0.44400000000000001</v>
      </c>
      <c r="E11" s="2">
        <v>3518</v>
      </c>
      <c r="F11" s="2">
        <v>2.8820000000000001</v>
      </c>
      <c r="G11" s="2">
        <v>0</v>
      </c>
      <c r="H11" s="2">
        <v>6.4329999999999998</v>
      </c>
      <c r="I11" s="2">
        <v>-0.44640000000000002</v>
      </c>
      <c r="J11" s="2">
        <v>0</v>
      </c>
      <c r="K11" s="2">
        <v>0</v>
      </c>
      <c r="L11" s="2">
        <v>0.44850000000000001</v>
      </c>
      <c r="M11" s="2">
        <v>0</v>
      </c>
      <c r="N11">
        <f t="shared" si="4"/>
        <v>2.882E-3</v>
      </c>
      <c r="O11" s="7">
        <f t="shared" si="0"/>
        <v>603306.4938697347</v>
      </c>
      <c r="P11" s="7">
        <f t="shared" si="5"/>
        <v>19038905010943.539</v>
      </c>
      <c r="Q11">
        <f t="shared" si="6"/>
        <v>200685188000</v>
      </c>
      <c r="R11">
        <f t="shared" si="7"/>
        <v>0</v>
      </c>
      <c r="S11" s="1">
        <f t="shared" si="8"/>
        <v>1.9890000000000001E+33</v>
      </c>
      <c r="T11" s="1">
        <f t="shared" si="9"/>
        <v>0</v>
      </c>
      <c r="U11" s="8">
        <f t="shared" si="1"/>
        <v>3.3001820764208965E-13</v>
      </c>
      <c r="V11" s="11">
        <f t="shared" si="2"/>
        <v>0</v>
      </c>
      <c r="W11" s="1">
        <f t="shared" si="3"/>
        <v>3.5927572114096442E+55</v>
      </c>
      <c r="X11">
        <v>0</v>
      </c>
      <c r="Y11">
        <f t="shared" si="10"/>
        <v>55.555427869776956</v>
      </c>
      <c r="AA11" s="10">
        <f t="shared" si="11"/>
        <v>0.60330649386973467</v>
      </c>
    </row>
    <row r="12" spans="1:27" x14ac:dyDescent="0.25">
      <c r="A12" s="2">
        <v>1</v>
      </c>
      <c r="B12" s="2">
        <v>5.7941370000000001</v>
      </c>
      <c r="C12" s="6">
        <v>3.6426623314420357</v>
      </c>
      <c r="D12" s="2">
        <v>0.434</v>
      </c>
      <c r="E12" s="2">
        <v>3528</v>
      </c>
      <c r="F12" s="2">
        <v>2.851</v>
      </c>
      <c r="G12" s="2">
        <v>0</v>
      </c>
      <c r="H12" s="2">
        <v>6.4370000000000003</v>
      </c>
      <c r="I12" s="2">
        <v>-0.43230000000000002</v>
      </c>
      <c r="J12" s="2">
        <v>0</v>
      </c>
      <c r="K12" s="2">
        <v>0</v>
      </c>
      <c r="L12" s="2">
        <v>0.4486</v>
      </c>
      <c r="M12" s="2">
        <v>0</v>
      </c>
      <c r="N12">
        <f t="shared" si="4"/>
        <v>2.8509999999999998E-3</v>
      </c>
      <c r="O12" s="7">
        <f t="shared" si="0"/>
        <v>622496.62334769941</v>
      </c>
      <c r="P12" s="7">
        <f t="shared" si="5"/>
        <v>19644499440957.359</v>
      </c>
      <c r="Q12">
        <f t="shared" si="6"/>
        <v>198526534000</v>
      </c>
      <c r="R12">
        <f t="shared" si="7"/>
        <v>0</v>
      </c>
      <c r="S12" s="1">
        <f t="shared" si="8"/>
        <v>1.9890000000000001E+33</v>
      </c>
      <c r="T12" s="1">
        <f t="shared" si="9"/>
        <v>0</v>
      </c>
      <c r="U12" s="8">
        <f t="shared" si="1"/>
        <v>3.1984451047297236E-13</v>
      </c>
      <c r="V12" s="11">
        <f t="shared" si="2"/>
        <v>0</v>
      </c>
      <c r="W12" s="1">
        <f t="shared" si="3"/>
        <v>3.5166664107291337E+55</v>
      </c>
      <c r="X12">
        <v>0</v>
      </c>
      <c r="Y12">
        <f t="shared" si="10"/>
        <v>55.546131173306769</v>
      </c>
      <c r="AA12" s="10">
        <f t="shared" si="11"/>
        <v>0.6224966233476994</v>
      </c>
    </row>
    <row r="13" spans="1:27" x14ac:dyDescent="0.25">
      <c r="A13" s="2">
        <v>1</v>
      </c>
      <c r="B13" s="2">
        <v>5.8009490000000001</v>
      </c>
      <c r="C13" s="6">
        <v>3.6426623314420357</v>
      </c>
      <c r="D13" s="2">
        <v>0.42899999999999999</v>
      </c>
      <c r="E13" s="2">
        <v>3532</v>
      </c>
      <c r="F13" s="2">
        <v>2.835</v>
      </c>
      <c r="G13" s="2">
        <v>0</v>
      </c>
      <c r="H13" s="2">
        <v>6.4390000000000001</v>
      </c>
      <c r="I13" s="2">
        <v>-0.42530000000000001</v>
      </c>
      <c r="J13" s="2">
        <v>0</v>
      </c>
      <c r="K13" s="2">
        <v>0</v>
      </c>
      <c r="L13" s="2">
        <v>0.44869999999999999</v>
      </c>
      <c r="M13" s="2">
        <v>0</v>
      </c>
      <c r="N13">
        <f t="shared" si="4"/>
        <v>2.8349999999999998E-3</v>
      </c>
      <c r="O13" s="7">
        <f t="shared" si="0"/>
        <v>632337.59044942178</v>
      </c>
      <c r="P13" s="7">
        <f t="shared" si="5"/>
        <v>19955056744366.672</v>
      </c>
      <c r="Q13">
        <f t="shared" si="6"/>
        <v>197412390000</v>
      </c>
      <c r="R13">
        <f t="shared" si="7"/>
        <v>0</v>
      </c>
      <c r="S13" s="1">
        <f t="shared" si="8"/>
        <v>1.9890000000000001E+33</v>
      </c>
      <c r="T13" s="1">
        <f t="shared" si="9"/>
        <v>0</v>
      </c>
      <c r="U13" s="8">
        <f t="shared" si="1"/>
        <v>3.1486682236337587E-13</v>
      </c>
      <c r="V13" s="11">
        <f t="shared" si="2"/>
        <v>0</v>
      </c>
      <c r="W13" s="1">
        <f t="shared" si="3"/>
        <v>3.4780807877052954E+55</v>
      </c>
      <c r="X13">
        <v>0</v>
      </c>
      <c r="Y13">
        <f t="shared" si="10"/>
        <v>55.541339665431828</v>
      </c>
      <c r="AA13" s="10">
        <f t="shared" si="11"/>
        <v>0.63233759044942184</v>
      </c>
    </row>
    <row r="14" spans="1:27" x14ac:dyDescent="0.25">
      <c r="A14" s="2">
        <v>1</v>
      </c>
      <c r="B14" s="2">
        <v>5.8145990000000003</v>
      </c>
      <c r="C14" s="6">
        <v>3.6425634371043878</v>
      </c>
      <c r="D14" s="2">
        <v>0.41899999999999998</v>
      </c>
      <c r="E14" s="2">
        <v>3542</v>
      </c>
      <c r="F14" s="2">
        <v>2.8039999999999998</v>
      </c>
      <c r="G14" s="2">
        <v>0</v>
      </c>
      <c r="H14" s="2">
        <v>6.444</v>
      </c>
      <c r="I14" s="2">
        <v>-0.41120000000000001</v>
      </c>
      <c r="J14" s="2">
        <v>0</v>
      </c>
      <c r="K14" s="2">
        <v>0</v>
      </c>
      <c r="L14" s="2">
        <v>0.44869999999999999</v>
      </c>
      <c r="M14" s="2">
        <v>0</v>
      </c>
      <c r="N14">
        <f t="shared" si="4"/>
        <v>2.8039999999999996E-3</v>
      </c>
      <c r="O14" s="7">
        <f t="shared" si="0"/>
        <v>652527.77161680325</v>
      </c>
      <c r="P14" s="7">
        <f t="shared" si="5"/>
        <v>20592210405574.43</v>
      </c>
      <c r="Q14">
        <f t="shared" si="6"/>
        <v>195253735999.99997</v>
      </c>
      <c r="R14">
        <f t="shared" si="7"/>
        <v>0</v>
      </c>
      <c r="S14" s="1">
        <f t="shared" si="8"/>
        <v>1.9890000000000001E+33</v>
      </c>
      <c r="T14" s="1">
        <f t="shared" si="9"/>
        <v>0</v>
      </c>
      <c r="U14" s="8">
        <f t="shared" si="1"/>
        <v>3.0512437389813637E-13</v>
      </c>
      <c r="V14" s="11">
        <f t="shared" si="2"/>
        <v>0</v>
      </c>
      <c r="W14" s="1">
        <f t="shared" si="3"/>
        <v>3.4024328091532474E+55</v>
      </c>
      <c r="X14">
        <v>0</v>
      </c>
      <c r="Y14">
        <f t="shared" si="10"/>
        <v>55.531789557563215</v>
      </c>
      <c r="AA14" s="10">
        <f t="shared" si="11"/>
        <v>0.6525277716168032</v>
      </c>
    </row>
    <row r="15" spans="1:27" x14ac:dyDescent="0.25">
      <c r="A15" s="2">
        <v>1</v>
      </c>
      <c r="B15" s="2">
        <v>5.8214360000000003</v>
      </c>
      <c r="C15" s="6">
        <v>3.6424645202421213</v>
      </c>
      <c r="D15" s="2">
        <v>0.41499999999999998</v>
      </c>
      <c r="E15" s="2">
        <v>3547</v>
      </c>
      <c r="F15" s="2">
        <v>2.7890000000000001</v>
      </c>
      <c r="G15" s="2">
        <v>0</v>
      </c>
      <c r="H15" s="2">
        <v>6.4459999999999997</v>
      </c>
      <c r="I15" s="2">
        <v>-0.4042</v>
      </c>
      <c r="J15" s="2">
        <v>0</v>
      </c>
      <c r="K15" s="2">
        <v>0</v>
      </c>
      <c r="L15" s="2">
        <v>0.44880000000000003</v>
      </c>
      <c r="M15" s="2">
        <v>0</v>
      </c>
      <c r="N15">
        <f t="shared" si="4"/>
        <v>2.7890000000000002E-3</v>
      </c>
      <c r="O15" s="7">
        <f t="shared" si="0"/>
        <v>662881.65462190926</v>
      </c>
      <c r="P15" s="7">
        <f t="shared" si="5"/>
        <v>20918954103896.363</v>
      </c>
      <c r="Q15">
        <f t="shared" si="6"/>
        <v>194209226000</v>
      </c>
      <c r="R15">
        <f t="shared" si="7"/>
        <v>0</v>
      </c>
      <c r="S15" s="1">
        <f t="shared" si="8"/>
        <v>1.9890000000000001E+33</v>
      </c>
      <c r="T15" s="1">
        <f t="shared" si="9"/>
        <v>0</v>
      </c>
      <c r="U15" s="8">
        <f t="shared" si="1"/>
        <v>3.0035848235879444E-13</v>
      </c>
      <c r="V15" s="11">
        <f t="shared" si="2"/>
        <v>0</v>
      </c>
      <c r="W15" s="1">
        <f t="shared" si="3"/>
        <v>3.3668777392060027E+55</v>
      </c>
      <c r="X15">
        <v>0</v>
      </c>
      <c r="Y15">
        <f t="shared" si="10"/>
        <v>55.527227346221103</v>
      </c>
      <c r="AA15" s="10">
        <f t="shared" si="11"/>
        <v>0.66288165462190929</v>
      </c>
    </row>
    <row r="16" spans="1:27" x14ac:dyDescent="0.25">
      <c r="A16" s="2">
        <v>1</v>
      </c>
      <c r="B16" s="2">
        <v>5.8351369999999996</v>
      </c>
      <c r="C16" s="6">
        <v>3.6423655808449733</v>
      </c>
      <c r="D16" s="2">
        <v>0.40500000000000003</v>
      </c>
      <c r="E16" s="2">
        <v>3556</v>
      </c>
      <c r="F16" s="2">
        <v>2.758</v>
      </c>
      <c r="G16" s="2">
        <v>0</v>
      </c>
      <c r="H16" s="2">
        <v>6.4509999999999996</v>
      </c>
      <c r="I16" s="2">
        <v>-0.3901</v>
      </c>
      <c r="J16" s="2">
        <v>0</v>
      </c>
      <c r="K16" s="2">
        <v>0</v>
      </c>
      <c r="L16" s="2">
        <v>0.44889999999999997</v>
      </c>
      <c r="M16" s="2">
        <v>0</v>
      </c>
      <c r="N16">
        <f t="shared" si="4"/>
        <v>2.758E-3</v>
      </c>
      <c r="O16" s="7">
        <f t="shared" si="0"/>
        <v>684127.42408614722</v>
      </c>
      <c r="P16" s="7">
        <f t="shared" si="5"/>
        <v>21589419598341</v>
      </c>
      <c r="Q16">
        <f t="shared" si="6"/>
        <v>192050572000</v>
      </c>
      <c r="R16">
        <f t="shared" si="7"/>
        <v>0</v>
      </c>
      <c r="S16" s="1">
        <f t="shared" si="8"/>
        <v>1.9890000000000001E+33</v>
      </c>
      <c r="T16" s="1">
        <f t="shared" si="9"/>
        <v>0</v>
      </c>
      <c r="U16" s="8">
        <f t="shared" si="1"/>
        <v>2.9103076525792322E-13</v>
      </c>
      <c r="V16" s="11">
        <f t="shared" si="2"/>
        <v>0</v>
      </c>
      <c r="W16" s="1">
        <f t="shared" si="3"/>
        <v>3.2931809805613632E+55</v>
      </c>
      <c r="X16">
        <v>0</v>
      </c>
      <c r="Y16">
        <f t="shared" si="10"/>
        <v>55.517615598522219</v>
      </c>
      <c r="AA16" s="10">
        <f t="shared" si="11"/>
        <v>0.68412742408614724</v>
      </c>
    </row>
    <row r="17" spans="1:27" x14ac:dyDescent="0.25">
      <c r="A17" s="2">
        <v>1</v>
      </c>
      <c r="B17" s="2">
        <v>5.8419990000000004</v>
      </c>
      <c r="C17" s="6">
        <v>3.6423655808449733</v>
      </c>
      <c r="D17" s="2">
        <v>0.4</v>
      </c>
      <c r="E17" s="2">
        <v>3561</v>
      </c>
      <c r="F17" s="2">
        <v>2.7429999999999999</v>
      </c>
      <c r="G17" s="2">
        <v>0</v>
      </c>
      <c r="H17" s="2">
        <v>6.4530000000000003</v>
      </c>
      <c r="I17" s="2">
        <v>-0.3831</v>
      </c>
      <c r="J17" s="2">
        <v>0</v>
      </c>
      <c r="K17" s="2">
        <v>0</v>
      </c>
      <c r="L17" s="2">
        <v>0.44889999999999997</v>
      </c>
      <c r="M17" s="2">
        <v>0</v>
      </c>
      <c r="N17">
        <f t="shared" si="4"/>
        <v>2.7429999999999998E-3</v>
      </c>
      <c r="O17" s="7">
        <f t="shared" si="0"/>
        <v>695022.71723800781</v>
      </c>
      <c r="P17" s="7">
        <f t="shared" si="5"/>
        <v>21933248901510.156</v>
      </c>
      <c r="Q17">
        <f t="shared" si="6"/>
        <v>191006061999.99997</v>
      </c>
      <c r="R17">
        <f t="shared" si="7"/>
        <v>0</v>
      </c>
      <c r="S17" s="1">
        <f t="shared" si="8"/>
        <v>1.9890000000000001E+33</v>
      </c>
      <c r="T17" s="1">
        <f t="shared" si="9"/>
        <v>0</v>
      </c>
      <c r="U17" s="8">
        <f t="shared" si="1"/>
        <v>2.8646851797441528E-13</v>
      </c>
      <c r="V17" s="11">
        <f t="shared" si="2"/>
        <v>0</v>
      </c>
      <c r="W17" s="1">
        <f t="shared" si="3"/>
        <v>3.2574569889389923E+55</v>
      </c>
      <c r="X17">
        <v>0</v>
      </c>
      <c r="Y17">
        <f t="shared" si="10"/>
        <v>55.512878690051615</v>
      </c>
      <c r="AA17" s="10">
        <f t="shared" si="11"/>
        <v>0.69502271723800779</v>
      </c>
    </row>
    <row r="18" spans="1:27" x14ac:dyDescent="0.25">
      <c r="A18" s="2">
        <v>1</v>
      </c>
      <c r="B18" s="2">
        <v>5.855747</v>
      </c>
      <c r="C18" s="6">
        <v>3.6422666189026733</v>
      </c>
      <c r="D18" s="2">
        <v>0.39</v>
      </c>
      <c r="E18" s="2">
        <v>3571</v>
      </c>
      <c r="F18" s="2">
        <v>2.7130000000000001</v>
      </c>
      <c r="G18" s="2">
        <v>0</v>
      </c>
      <c r="H18" s="2">
        <v>6.4580000000000002</v>
      </c>
      <c r="I18" s="2">
        <v>-0.36899999999999999</v>
      </c>
      <c r="J18" s="2">
        <v>0</v>
      </c>
      <c r="K18" s="2">
        <v>0</v>
      </c>
      <c r="L18" s="2">
        <v>0.44900000000000001</v>
      </c>
      <c r="M18" s="2">
        <v>0</v>
      </c>
      <c r="N18">
        <f t="shared" si="4"/>
        <v>2.7130000000000001E-3</v>
      </c>
      <c r="O18" s="7">
        <f t="shared" si="0"/>
        <v>717376.25909031648</v>
      </c>
      <c r="P18" s="7">
        <f t="shared" si="5"/>
        <v>22638673033868.57</v>
      </c>
      <c r="Q18">
        <f t="shared" si="6"/>
        <v>188917042000</v>
      </c>
      <c r="R18">
        <f t="shared" si="7"/>
        <v>0</v>
      </c>
      <c r="S18" s="1">
        <f t="shared" si="8"/>
        <v>1.9890000000000001E+33</v>
      </c>
      <c r="T18" s="1">
        <f t="shared" si="9"/>
        <v>0</v>
      </c>
      <c r="U18" s="8">
        <f t="shared" si="1"/>
        <v>2.7754211997229835E-13</v>
      </c>
      <c r="V18" s="11">
        <f t="shared" si="2"/>
        <v>0</v>
      </c>
      <c r="W18" s="1">
        <f t="shared" si="3"/>
        <v>3.1873033409494825E+55</v>
      </c>
      <c r="X18">
        <v>0</v>
      </c>
      <c r="Y18">
        <f t="shared" si="10"/>
        <v>55.503423397967417</v>
      </c>
      <c r="AA18" s="10">
        <f t="shared" si="11"/>
        <v>0.71737625909031644</v>
      </c>
    </row>
    <row r="19" spans="1:27" x14ac:dyDescent="0.25">
      <c r="A19" s="2">
        <v>1</v>
      </c>
      <c r="B19" s="2">
        <v>5.8626329999999998</v>
      </c>
      <c r="C19" s="6">
        <v>3.6422666189026733</v>
      </c>
      <c r="D19" s="2">
        <v>0.38500000000000001</v>
      </c>
      <c r="E19" s="2">
        <v>3575</v>
      </c>
      <c r="F19" s="2">
        <v>2.698</v>
      </c>
      <c r="G19" s="2">
        <v>0</v>
      </c>
      <c r="H19" s="2">
        <v>6.46</v>
      </c>
      <c r="I19" s="2">
        <v>-0.36199999999999999</v>
      </c>
      <c r="J19" s="2">
        <v>0</v>
      </c>
      <c r="K19" s="2">
        <v>0</v>
      </c>
      <c r="L19" s="2">
        <v>0.4491</v>
      </c>
      <c r="M19" s="2">
        <v>0</v>
      </c>
      <c r="N19">
        <f t="shared" si="4"/>
        <v>2.6979999999999999E-3</v>
      </c>
      <c r="O19" s="7">
        <f t="shared" si="0"/>
        <v>728841.34349471133</v>
      </c>
      <c r="P19" s="7">
        <f t="shared" si="5"/>
        <v>23000483581468.703</v>
      </c>
      <c r="Q19">
        <f t="shared" si="6"/>
        <v>187872532000</v>
      </c>
      <c r="R19">
        <f t="shared" si="7"/>
        <v>0</v>
      </c>
      <c r="S19" s="1">
        <f t="shared" si="8"/>
        <v>1.9890000000000001E+33</v>
      </c>
      <c r="T19" s="1">
        <f t="shared" si="9"/>
        <v>0</v>
      </c>
      <c r="U19" s="8">
        <f t="shared" si="1"/>
        <v>2.7317622627038574E-13</v>
      </c>
      <c r="V19" s="11">
        <f t="shared" si="2"/>
        <v>0</v>
      </c>
      <c r="W19" s="1">
        <f t="shared" si="3"/>
        <v>3.1528580287465284E+55</v>
      </c>
      <c r="X19">
        <v>0</v>
      </c>
      <c r="Y19">
        <f t="shared" si="10"/>
        <v>55.498704415175389</v>
      </c>
      <c r="AA19" s="10">
        <f t="shared" si="11"/>
        <v>0.7288413434947113</v>
      </c>
    </row>
    <row r="20" spans="1:27" x14ac:dyDescent="0.25">
      <c r="A20" s="2">
        <v>1</v>
      </c>
      <c r="B20" s="2">
        <v>5.8695269999999997</v>
      </c>
      <c r="C20" s="6">
        <v>3.6421676344049452</v>
      </c>
      <c r="D20" s="2">
        <v>0.38</v>
      </c>
      <c r="E20" s="2">
        <v>3580</v>
      </c>
      <c r="F20" s="2">
        <v>2.6829999999999998</v>
      </c>
      <c r="G20" s="2">
        <v>0</v>
      </c>
      <c r="H20" s="2">
        <v>6.4630000000000001</v>
      </c>
      <c r="I20" s="2">
        <v>-0.35489999999999999</v>
      </c>
      <c r="J20" s="2">
        <v>0</v>
      </c>
      <c r="K20" s="2">
        <v>0</v>
      </c>
      <c r="L20" s="2">
        <v>0.4491</v>
      </c>
      <c r="M20" s="2">
        <v>0</v>
      </c>
      <c r="N20">
        <f t="shared" si="4"/>
        <v>2.6829999999999996E-3</v>
      </c>
      <c r="O20" s="7">
        <f t="shared" si="0"/>
        <v>740503.30296027765</v>
      </c>
      <c r="P20" s="7">
        <f t="shared" si="5"/>
        <v>23368507033499.258</v>
      </c>
      <c r="Q20">
        <f t="shared" si="6"/>
        <v>186828021999.99997</v>
      </c>
      <c r="R20">
        <f t="shared" si="7"/>
        <v>0</v>
      </c>
      <c r="S20" s="1">
        <f t="shared" si="8"/>
        <v>1.9890000000000001E+33</v>
      </c>
      <c r="T20" s="1">
        <f t="shared" si="9"/>
        <v>0</v>
      </c>
      <c r="U20" s="8">
        <f t="shared" si="1"/>
        <v>2.688740576440123E-13</v>
      </c>
      <c r="V20" s="11">
        <f t="shared" si="2"/>
        <v>0</v>
      </c>
      <c r="W20" s="1">
        <f t="shared" si="3"/>
        <v>3.1178977589436372E+55</v>
      </c>
      <c r="X20">
        <v>0</v>
      </c>
      <c r="Y20">
        <f t="shared" si="10"/>
        <v>55.493861869847493</v>
      </c>
      <c r="AA20" s="10">
        <f t="shared" si="11"/>
        <v>0.74050330296027767</v>
      </c>
    </row>
    <row r="21" spans="1:27" x14ac:dyDescent="0.25">
      <c r="A21" s="2">
        <v>1</v>
      </c>
      <c r="B21" s="2">
        <v>5.8833349999999998</v>
      </c>
      <c r="C21" s="6">
        <v>3.6420686273415042</v>
      </c>
      <c r="D21" s="2">
        <v>0.37</v>
      </c>
      <c r="E21" s="2">
        <v>3590</v>
      </c>
      <c r="F21" s="2">
        <v>2.6539999999999999</v>
      </c>
      <c r="G21" s="2">
        <v>0</v>
      </c>
      <c r="H21" s="2">
        <v>6.4669999999999996</v>
      </c>
      <c r="I21" s="2">
        <v>-0.34089999999999998</v>
      </c>
      <c r="J21" s="2">
        <v>0</v>
      </c>
      <c r="K21" s="2">
        <v>0</v>
      </c>
      <c r="L21" s="2">
        <v>0.44919999999999999</v>
      </c>
      <c r="M21" s="2">
        <v>0</v>
      </c>
      <c r="N21">
        <f t="shared" si="4"/>
        <v>2.6540000000000001E-3</v>
      </c>
      <c r="O21" s="7">
        <f t="shared" si="0"/>
        <v>764425.2078371183</v>
      </c>
      <c r="P21" s="7">
        <f t="shared" si="5"/>
        <v>24123424938840.645</v>
      </c>
      <c r="Q21">
        <f t="shared" si="6"/>
        <v>184808636000</v>
      </c>
      <c r="R21">
        <f t="shared" si="7"/>
        <v>0</v>
      </c>
      <c r="S21" s="1">
        <f t="shared" si="8"/>
        <v>1.9890000000000001E+33</v>
      </c>
      <c r="T21" s="1">
        <f t="shared" si="9"/>
        <v>0</v>
      </c>
      <c r="U21" s="8">
        <f t="shared" si="1"/>
        <v>2.6045991906659801E-13</v>
      </c>
      <c r="V21" s="11">
        <f t="shared" si="2"/>
        <v>0</v>
      </c>
      <c r="W21" s="1">
        <f t="shared" si="3"/>
        <v>3.0515399084195338E+55</v>
      </c>
      <c r="X21">
        <v>0</v>
      </c>
      <c r="Y21">
        <f t="shared" si="10"/>
        <v>55.484519054087158</v>
      </c>
      <c r="AA21" s="10">
        <f t="shared" si="11"/>
        <v>0.76442520783711831</v>
      </c>
    </row>
    <row r="22" spans="1:27" x14ac:dyDescent="0.25">
      <c r="A22" s="2">
        <v>1</v>
      </c>
      <c r="B22" s="2">
        <v>5.89025</v>
      </c>
      <c r="C22" s="6">
        <v>3.6420686273415042</v>
      </c>
      <c r="D22" s="2">
        <v>0.36499999999999999</v>
      </c>
      <c r="E22" s="2">
        <v>3595</v>
      </c>
      <c r="F22" s="2">
        <v>2.6389999999999998</v>
      </c>
      <c r="G22" s="2">
        <v>0</v>
      </c>
      <c r="H22" s="2">
        <v>6.47</v>
      </c>
      <c r="I22" s="2">
        <v>-0.33379999999999999</v>
      </c>
      <c r="J22" s="2">
        <v>0</v>
      </c>
      <c r="K22" s="2">
        <v>0</v>
      </c>
      <c r="L22" s="2">
        <v>0.44919999999999999</v>
      </c>
      <c r="M22" s="2">
        <v>0</v>
      </c>
      <c r="N22">
        <f t="shared" si="4"/>
        <v>2.6389999999999999E-3</v>
      </c>
      <c r="O22" s="7">
        <f t="shared" si="0"/>
        <v>776694.08902515459</v>
      </c>
      <c r="P22" s="7">
        <f t="shared" si="5"/>
        <v>24510601383820.219</v>
      </c>
      <c r="Q22">
        <f t="shared" si="6"/>
        <v>183764125999.99997</v>
      </c>
      <c r="R22">
        <f t="shared" si="7"/>
        <v>0</v>
      </c>
      <c r="S22" s="1">
        <f t="shared" si="8"/>
        <v>1.9890000000000001E+33</v>
      </c>
      <c r="T22" s="1">
        <f t="shared" si="9"/>
        <v>0</v>
      </c>
      <c r="U22" s="8">
        <f t="shared" si="1"/>
        <v>2.5634561995395195E-13</v>
      </c>
      <c r="V22" s="11">
        <f t="shared" si="2"/>
        <v>0</v>
      </c>
      <c r="W22" s="1">
        <f t="shared" si="3"/>
        <v>3.0171437159794962E+55</v>
      </c>
      <c r="X22">
        <v>0</v>
      </c>
      <c r="Y22">
        <f t="shared" si="10"/>
        <v>55.479595997470419</v>
      </c>
      <c r="AA22" s="10">
        <f t="shared" si="11"/>
        <v>0.77669408902515458</v>
      </c>
    </row>
    <row r="23" spans="1:27" x14ac:dyDescent="0.25">
      <c r="A23" s="2">
        <v>1</v>
      </c>
      <c r="B23" s="2">
        <v>5.9040999999999997</v>
      </c>
      <c r="C23" s="6">
        <v>3.6419695977020594</v>
      </c>
      <c r="D23" s="2">
        <v>0.35499999999999998</v>
      </c>
      <c r="E23" s="2">
        <v>3604</v>
      </c>
      <c r="F23" s="2">
        <v>2.61</v>
      </c>
      <c r="G23" s="2">
        <v>0</v>
      </c>
      <c r="H23" s="2">
        <v>6.4740000000000002</v>
      </c>
      <c r="I23" s="2">
        <v>-0.31969999999999998</v>
      </c>
      <c r="J23" s="2">
        <v>0</v>
      </c>
      <c r="K23" s="2">
        <v>0</v>
      </c>
      <c r="L23" s="2">
        <v>0.44930000000000003</v>
      </c>
      <c r="M23" s="2">
        <v>0</v>
      </c>
      <c r="N23">
        <f t="shared" si="4"/>
        <v>2.6099999999999999E-3</v>
      </c>
      <c r="O23" s="7">
        <f t="shared" si="0"/>
        <v>801862.67783720093</v>
      </c>
      <c r="P23" s="7">
        <f t="shared" si="5"/>
        <v>25304861642115.254</v>
      </c>
      <c r="Q23">
        <f t="shared" si="6"/>
        <v>181744740000</v>
      </c>
      <c r="R23">
        <f t="shared" si="7"/>
        <v>0</v>
      </c>
      <c r="S23" s="1">
        <f t="shared" si="8"/>
        <v>1.9890000000000001E+33</v>
      </c>
      <c r="T23" s="1">
        <f t="shared" si="9"/>
        <v>0</v>
      </c>
      <c r="U23" s="8">
        <f t="shared" si="1"/>
        <v>2.4829953216272039E-13</v>
      </c>
      <c r="V23" s="11">
        <f t="shared" si="2"/>
        <v>0</v>
      </c>
      <c r="W23" s="1">
        <f t="shared" si="3"/>
        <v>2.9518541999972644E+55</v>
      </c>
      <c r="X23">
        <v>0</v>
      </c>
      <c r="Y23">
        <f t="shared" si="10"/>
        <v>55.470094902710493</v>
      </c>
      <c r="AA23" s="10">
        <f t="shared" si="11"/>
        <v>0.80186267783720089</v>
      </c>
    </row>
    <row r="24" spans="1:27" x14ac:dyDescent="0.25">
      <c r="A24" s="2">
        <v>1</v>
      </c>
      <c r="B24" s="2">
        <v>5.9110360000000002</v>
      </c>
      <c r="C24" s="6">
        <v>3.6418705454763129</v>
      </c>
      <c r="D24" s="2">
        <v>0.35</v>
      </c>
      <c r="E24" s="2">
        <v>3609</v>
      </c>
      <c r="F24" s="2">
        <v>2.5960000000000001</v>
      </c>
      <c r="G24" s="2">
        <v>0</v>
      </c>
      <c r="H24" s="2">
        <v>6.4770000000000003</v>
      </c>
      <c r="I24" s="2">
        <v>-0.31269999999999998</v>
      </c>
      <c r="J24" s="2">
        <v>0</v>
      </c>
      <c r="K24" s="2">
        <v>0</v>
      </c>
      <c r="L24" s="2">
        <v>0.44939999999999997</v>
      </c>
      <c r="M24" s="2">
        <v>0</v>
      </c>
      <c r="N24">
        <f t="shared" si="4"/>
        <v>2.5960000000000002E-3</v>
      </c>
      <c r="O24" s="7">
        <f t="shared" si="0"/>
        <v>814771.82015376596</v>
      </c>
      <c r="P24" s="7">
        <f t="shared" si="5"/>
        <v>25712243191684.484</v>
      </c>
      <c r="Q24">
        <f t="shared" si="6"/>
        <v>180769864000</v>
      </c>
      <c r="R24">
        <f t="shared" si="7"/>
        <v>0</v>
      </c>
      <c r="S24" s="1">
        <f t="shared" si="8"/>
        <v>1.9890000000000001E+33</v>
      </c>
      <c r="T24" s="1">
        <f t="shared" si="9"/>
        <v>0</v>
      </c>
      <c r="U24" s="8">
        <f t="shared" si="1"/>
        <v>2.4436550558185494E-13</v>
      </c>
      <c r="V24" s="11">
        <f t="shared" si="2"/>
        <v>0</v>
      </c>
      <c r="W24" s="1">
        <f t="shared" si="3"/>
        <v>2.9209216906686211E+55</v>
      </c>
      <c r="X24">
        <v>0</v>
      </c>
      <c r="Y24">
        <f t="shared" si="10"/>
        <v>55.465519913780675</v>
      </c>
      <c r="AA24" s="10">
        <f t="shared" si="11"/>
        <v>0.81477182015376592</v>
      </c>
    </row>
    <row r="25" spans="1:27" x14ac:dyDescent="0.25">
      <c r="A25" s="2">
        <v>1</v>
      </c>
      <c r="B25" s="2">
        <v>5.9249270000000003</v>
      </c>
      <c r="C25" s="6">
        <v>3.6417714706539592</v>
      </c>
      <c r="D25" s="2">
        <v>0.34</v>
      </c>
      <c r="E25" s="2">
        <v>3619</v>
      </c>
      <c r="F25" s="2">
        <v>2.5670000000000002</v>
      </c>
      <c r="G25" s="2">
        <v>0</v>
      </c>
      <c r="H25" s="2">
        <v>6.4809999999999999</v>
      </c>
      <c r="I25" s="2">
        <v>-0.29859999999999998</v>
      </c>
      <c r="J25" s="2">
        <v>0</v>
      </c>
      <c r="K25" s="2">
        <v>0</v>
      </c>
      <c r="L25" s="2">
        <v>0.44950000000000001</v>
      </c>
      <c r="M25" s="2">
        <v>0</v>
      </c>
      <c r="N25">
        <f t="shared" si="4"/>
        <v>2.5670000000000003E-3</v>
      </c>
      <c r="O25" s="7">
        <f t="shared" si="0"/>
        <v>841253.72450537793</v>
      </c>
      <c r="P25" s="7">
        <f t="shared" si="5"/>
        <v>26547948536450.914</v>
      </c>
      <c r="Q25">
        <f t="shared" si="6"/>
        <v>178750478000</v>
      </c>
      <c r="R25">
        <f t="shared" si="7"/>
        <v>0</v>
      </c>
      <c r="S25" s="1">
        <f t="shared" si="8"/>
        <v>1.9890000000000001E+33</v>
      </c>
      <c r="T25" s="1">
        <f t="shared" si="9"/>
        <v>0</v>
      </c>
      <c r="U25" s="8">
        <f t="shared" si="1"/>
        <v>2.3667310107041363E-13</v>
      </c>
      <c r="V25" s="11">
        <f t="shared" si="2"/>
        <v>0</v>
      </c>
      <c r="W25" s="1">
        <f t="shared" si="3"/>
        <v>2.8566622967597149E+55</v>
      </c>
      <c r="X25">
        <v>0</v>
      </c>
      <c r="Y25">
        <f t="shared" si="10"/>
        <v>55.455858902853038</v>
      </c>
      <c r="AA25" s="10">
        <f t="shared" si="11"/>
        <v>0.84125372450537794</v>
      </c>
    </row>
    <row r="26" spans="1:27" x14ac:dyDescent="0.25">
      <c r="A26" s="2">
        <v>1</v>
      </c>
      <c r="B26" s="2">
        <v>5.9318840000000002</v>
      </c>
      <c r="C26" s="6">
        <v>3.6417714706539592</v>
      </c>
      <c r="D26" s="2">
        <v>0.33500000000000002</v>
      </c>
      <c r="E26" s="2">
        <v>3623</v>
      </c>
      <c r="F26" s="2">
        <v>2.5529999999999999</v>
      </c>
      <c r="G26" s="2">
        <v>0</v>
      </c>
      <c r="H26" s="2">
        <v>6.484</v>
      </c>
      <c r="I26" s="2">
        <v>-0.29160000000000003</v>
      </c>
      <c r="J26" s="2">
        <v>0</v>
      </c>
      <c r="K26" s="2">
        <v>0</v>
      </c>
      <c r="L26" s="2">
        <v>0.44950000000000001</v>
      </c>
      <c r="M26" s="2">
        <v>0</v>
      </c>
      <c r="N26">
        <f t="shared" si="4"/>
        <v>2.5530000000000001E-3</v>
      </c>
      <c r="O26" s="7">
        <f t="shared" si="0"/>
        <v>854838.35517467302</v>
      </c>
      <c r="P26" s="7">
        <f t="shared" si="5"/>
        <v>26976646877260.262</v>
      </c>
      <c r="Q26">
        <f t="shared" si="6"/>
        <v>177775602000</v>
      </c>
      <c r="R26">
        <f t="shared" si="7"/>
        <v>0</v>
      </c>
      <c r="S26" s="1">
        <f t="shared" si="8"/>
        <v>1.9890000000000001E+33</v>
      </c>
      <c r="T26" s="1">
        <f t="shared" si="9"/>
        <v>0</v>
      </c>
      <c r="U26" s="8">
        <f t="shared" si="1"/>
        <v>2.3291201963561844E-13</v>
      </c>
      <c r="V26" s="11">
        <f t="shared" si="2"/>
        <v>0</v>
      </c>
      <c r="W26" s="1">
        <f t="shared" si="3"/>
        <v>2.8255877242956381E+55</v>
      </c>
      <c r="X26">
        <v>0</v>
      </c>
      <c r="Y26">
        <f t="shared" si="10"/>
        <v>55.45110879511865</v>
      </c>
      <c r="AA26" s="10">
        <f t="shared" si="11"/>
        <v>0.85483835517467299</v>
      </c>
    </row>
    <row r="27" spans="1:27" x14ac:dyDescent="0.25">
      <c r="A27" s="2">
        <v>1</v>
      </c>
      <c r="B27" s="2">
        <v>5.9458149999999996</v>
      </c>
      <c r="C27" s="6">
        <v>3.6416723732246865</v>
      </c>
      <c r="D27" s="2">
        <v>0.32500000000000001</v>
      </c>
      <c r="E27" s="2">
        <v>3633</v>
      </c>
      <c r="F27" s="2">
        <v>2.5249999999999999</v>
      </c>
      <c r="G27" s="2">
        <v>0</v>
      </c>
      <c r="H27" s="2">
        <v>6.4880000000000004</v>
      </c>
      <c r="I27" s="2">
        <v>-0.27750000000000002</v>
      </c>
      <c r="J27" s="2">
        <v>0</v>
      </c>
      <c r="K27" s="2">
        <v>0</v>
      </c>
      <c r="L27" s="2">
        <v>0.4496</v>
      </c>
      <c r="M27" s="2">
        <v>0</v>
      </c>
      <c r="N27">
        <f t="shared" si="4"/>
        <v>2.5249999999999999E-3</v>
      </c>
      <c r="O27" s="7">
        <f t="shared" si="0"/>
        <v>882703.80770420155</v>
      </c>
      <c r="P27" s="7">
        <f t="shared" si="5"/>
        <v>27856013682006.109</v>
      </c>
      <c r="Q27">
        <f t="shared" si="6"/>
        <v>175825849999.99997</v>
      </c>
      <c r="R27">
        <f t="shared" si="7"/>
        <v>0</v>
      </c>
      <c r="S27" s="1">
        <f t="shared" si="8"/>
        <v>1.9890000000000001E+33</v>
      </c>
      <c r="T27" s="1">
        <f t="shared" si="9"/>
        <v>0</v>
      </c>
      <c r="U27" s="8">
        <f t="shared" si="1"/>
        <v>2.2555938473128614E-13</v>
      </c>
      <c r="V27" s="11">
        <f t="shared" si="2"/>
        <v>0</v>
      </c>
      <c r="W27" s="1">
        <f t="shared" si="3"/>
        <v>2.7645632905422893E+55</v>
      </c>
      <c r="X27">
        <v>0</v>
      </c>
      <c r="Y27">
        <f t="shared" si="10"/>
        <v>55.441626536911265</v>
      </c>
      <c r="AA27" s="10">
        <f t="shared" si="11"/>
        <v>0.88270380770420154</v>
      </c>
    </row>
    <row r="28" spans="1:27" x14ac:dyDescent="0.25">
      <c r="A28" s="2">
        <v>1</v>
      </c>
      <c r="B28" s="2">
        <v>5.9527910000000004</v>
      </c>
      <c r="C28" s="6">
        <v>3.6415732531781755</v>
      </c>
      <c r="D28" s="2">
        <v>0.32</v>
      </c>
      <c r="E28" s="2">
        <v>3638</v>
      </c>
      <c r="F28" s="2">
        <v>2.5110000000000001</v>
      </c>
      <c r="G28" s="2">
        <v>0</v>
      </c>
      <c r="H28" s="2">
        <v>6.4909999999999997</v>
      </c>
      <c r="I28" s="2">
        <v>-0.27050000000000002</v>
      </c>
      <c r="J28" s="2">
        <v>0</v>
      </c>
      <c r="K28" s="2">
        <v>0</v>
      </c>
      <c r="L28" s="2">
        <v>0.4496</v>
      </c>
      <c r="M28" s="2">
        <v>0</v>
      </c>
      <c r="N28">
        <f t="shared" si="4"/>
        <v>2.5110000000000002E-3</v>
      </c>
      <c r="O28" s="7">
        <f t="shared" si="0"/>
        <v>896997.01951451483</v>
      </c>
      <c r="P28" s="7">
        <f t="shared" si="5"/>
        <v>28307073143031.254</v>
      </c>
      <c r="Q28">
        <f t="shared" si="6"/>
        <v>174850974000</v>
      </c>
      <c r="R28">
        <f t="shared" si="7"/>
        <v>0</v>
      </c>
      <c r="S28" s="1">
        <f t="shared" si="8"/>
        <v>1.9890000000000001E+33</v>
      </c>
      <c r="T28" s="1">
        <f t="shared" si="9"/>
        <v>0</v>
      </c>
      <c r="U28" s="8">
        <f t="shared" si="1"/>
        <v>2.2196520549587111E-13</v>
      </c>
      <c r="V28" s="11">
        <f t="shared" si="2"/>
        <v>0</v>
      </c>
      <c r="W28" s="1">
        <f t="shared" si="3"/>
        <v>2.7339917355596183E+55</v>
      </c>
      <c r="X28">
        <v>0</v>
      </c>
      <c r="Y28">
        <f t="shared" si="10"/>
        <v>55.436797197427751</v>
      </c>
      <c r="AA28" s="10">
        <f t="shared" si="11"/>
        <v>0.89699701951451483</v>
      </c>
    </row>
    <row r="29" spans="1:27" x14ac:dyDescent="0.25">
      <c r="A29" s="2">
        <v>1</v>
      </c>
      <c r="B29" s="2">
        <v>5.9597730000000002</v>
      </c>
      <c r="C29" s="6">
        <v>3.6414741105040997</v>
      </c>
      <c r="D29" s="2">
        <v>0.315</v>
      </c>
      <c r="E29" s="2">
        <v>3642</v>
      </c>
      <c r="F29" s="2">
        <v>2.4980000000000002</v>
      </c>
      <c r="G29" s="2">
        <v>0</v>
      </c>
      <c r="H29" s="2">
        <v>6.4930000000000003</v>
      </c>
      <c r="I29" s="2">
        <v>-0.26340000000000002</v>
      </c>
      <c r="J29" s="2">
        <v>0</v>
      </c>
      <c r="K29" s="2">
        <v>0</v>
      </c>
      <c r="L29" s="2">
        <v>0.44969999999999999</v>
      </c>
      <c r="M29" s="2">
        <v>0</v>
      </c>
      <c r="N29">
        <f t="shared" si="4"/>
        <v>2.4980000000000002E-3</v>
      </c>
      <c r="O29" s="7">
        <f t="shared" si="0"/>
        <v>911534.26787369594</v>
      </c>
      <c r="P29" s="7">
        <f t="shared" si="5"/>
        <v>28765833811850.945</v>
      </c>
      <c r="Q29">
        <f t="shared" si="6"/>
        <v>173945732000</v>
      </c>
      <c r="R29">
        <f t="shared" si="7"/>
        <v>0</v>
      </c>
      <c r="S29" s="1">
        <f t="shared" si="8"/>
        <v>1.9890000000000001E+33</v>
      </c>
      <c r="T29" s="1">
        <f t="shared" si="9"/>
        <v>0</v>
      </c>
      <c r="U29" s="8">
        <f t="shared" si="1"/>
        <v>2.1842528008317424E-13</v>
      </c>
      <c r="V29" s="11">
        <f t="shared" si="2"/>
        <v>0</v>
      </c>
      <c r="W29" s="1">
        <f t="shared" si="3"/>
        <v>2.7063578758272949E+55</v>
      </c>
      <c r="X29">
        <v>0</v>
      </c>
      <c r="Y29">
        <f t="shared" si="10"/>
        <v>55.432385225085078</v>
      </c>
      <c r="AA29" s="10">
        <f t="shared" si="11"/>
        <v>0.91153426787369596</v>
      </c>
    </row>
    <row r="30" spans="1:27" x14ac:dyDescent="0.25">
      <c r="A30" s="2">
        <v>1</v>
      </c>
      <c r="B30" s="2">
        <v>5.9737549999999997</v>
      </c>
      <c r="C30" s="6">
        <v>3.6413749451921253</v>
      </c>
      <c r="D30" s="2">
        <v>0.30499999999999999</v>
      </c>
      <c r="E30" s="2">
        <v>3652</v>
      </c>
      <c r="F30" s="2">
        <v>2.4700000000000002</v>
      </c>
      <c r="G30" s="2">
        <v>0</v>
      </c>
      <c r="H30" s="2">
        <v>6.4980000000000002</v>
      </c>
      <c r="I30" s="2">
        <v>-0.24929999999999999</v>
      </c>
      <c r="J30" s="2">
        <v>0</v>
      </c>
      <c r="K30" s="2">
        <v>0</v>
      </c>
      <c r="L30" s="2">
        <v>0.44969999999999999</v>
      </c>
      <c r="M30" s="2">
        <v>0</v>
      </c>
      <c r="N30">
        <f t="shared" si="4"/>
        <v>2.4700000000000004E-3</v>
      </c>
      <c r="O30" s="7">
        <f t="shared" si="0"/>
        <v>941358.39503983676</v>
      </c>
      <c r="P30" s="7">
        <f t="shared" si="5"/>
        <v>29707011687309.152</v>
      </c>
      <c r="Q30">
        <f t="shared" si="6"/>
        <v>171995980000.00003</v>
      </c>
      <c r="R30">
        <f t="shared" si="7"/>
        <v>0</v>
      </c>
      <c r="S30" s="1">
        <f t="shared" si="8"/>
        <v>1.9890000000000001E+33</v>
      </c>
      <c r="T30" s="1">
        <f t="shared" si="9"/>
        <v>0</v>
      </c>
      <c r="U30" s="8">
        <f t="shared" si="1"/>
        <v>2.1150512792452178E-13</v>
      </c>
      <c r="V30" s="11">
        <f t="shared" si="2"/>
        <v>0</v>
      </c>
      <c r="W30" s="1">
        <f t="shared" si="3"/>
        <v>2.6460269520075227E+55</v>
      </c>
      <c r="X30">
        <v>0</v>
      </c>
      <c r="Y30">
        <f t="shared" si="10"/>
        <v>55.422594263528175</v>
      </c>
      <c r="AA30" s="10">
        <f t="shared" si="11"/>
        <v>0.94135839503983676</v>
      </c>
    </row>
    <row r="31" spans="1:27" x14ac:dyDescent="0.25">
      <c r="A31" s="2">
        <v>1</v>
      </c>
      <c r="B31" s="2">
        <v>5.9807589999999999</v>
      </c>
      <c r="C31" s="6">
        <v>3.6413749451921253</v>
      </c>
      <c r="D31" s="2">
        <v>0.3</v>
      </c>
      <c r="E31" s="2">
        <v>3657</v>
      </c>
      <c r="F31" s="2">
        <v>2.4569999999999999</v>
      </c>
      <c r="G31" s="2">
        <v>0</v>
      </c>
      <c r="H31" s="2">
        <v>6.5</v>
      </c>
      <c r="I31" s="2">
        <v>-0.24229999999999999</v>
      </c>
      <c r="J31" s="2">
        <v>0</v>
      </c>
      <c r="K31" s="2">
        <v>0</v>
      </c>
      <c r="L31" s="2">
        <v>0.44980000000000003</v>
      </c>
      <c r="M31" s="2">
        <v>0</v>
      </c>
      <c r="N31">
        <f t="shared" si="4"/>
        <v>2.457E-3</v>
      </c>
      <c r="O31" s="7">
        <f t="shared" si="0"/>
        <v>956663.04963382217</v>
      </c>
      <c r="P31" s="7">
        <f t="shared" si="5"/>
        <v>30189989855124.305</v>
      </c>
      <c r="Q31">
        <f t="shared" si="6"/>
        <v>171090737999.99997</v>
      </c>
      <c r="R31">
        <f t="shared" si="7"/>
        <v>0</v>
      </c>
      <c r="S31" s="1">
        <f t="shared" si="8"/>
        <v>1.9890000000000001E+33</v>
      </c>
      <c r="T31" s="1">
        <f t="shared" si="9"/>
        <v>0</v>
      </c>
      <c r="U31" s="8">
        <f t="shared" si="1"/>
        <v>2.0812147792468067E-13</v>
      </c>
      <c r="V31" s="11">
        <f t="shared" si="2"/>
        <v>0</v>
      </c>
      <c r="W31" s="1">
        <f t="shared" si="3"/>
        <v>2.6188295547568349E+55</v>
      </c>
      <c r="X31">
        <v>0</v>
      </c>
      <c r="Y31">
        <f t="shared" si="10"/>
        <v>55.418107233500677</v>
      </c>
      <c r="AA31" s="10">
        <f t="shared" si="11"/>
        <v>0.9566630496338222</v>
      </c>
    </row>
    <row r="32" spans="1:27" x14ac:dyDescent="0.25">
      <c r="A32" s="2">
        <v>1</v>
      </c>
      <c r="B32" s="2">
        <v>5.9947790000000003</v>
      </c>
      <c r="C32" s="6">
        <v>3.641275757231913</v>
      </c>
      <c r="D32" s="2">
        <v>0.28999999999999998</v>
      </c>
      <c r="E32" s="2">
        <v>3666</v>
      </c>
      <c r="F32" s="2">
        <v>2.4300000000000002</v>
      </c>
      <c r="G32" s="2">
        <v>0</v>
      </c>
      <c r="H32" s="2">
        <v>6.5049999999999999</v>
      </c>
      <c r="I32" s="2">
        <v>-0.22819999999999999</v>
      </c>
      <c r="J32" s="2">
        <v>0</v>
      </c>
      <c r="K32" s="2">
        <v>0</v>
      </c>
      <c r="L32" s="2">
        <v>0.44989999999999997</v>
      </c>
      <c r="M32" s="2">
        <v>0</v>
      </c>
      <c r="N32">
        <f t="shared" si="4"/>
        <v>2.4300000000000003E-3</v>
      </c>
      <c r="O32" s="7">
        <f t="shared" si="0"/>
        <v>988050.1763242631</v>
      </c>
      <c r="P32" s="7">
        <f t="shared" si="5"/>
        <v>31180492244370.566</v>
      </c>
      <c r="Q32">
        <f t="shared" si="6"/>
        <v>169210620000.00003</v>
      </c>
      <c r="R32">
        <f t="shared" si="7"/>
        <v>0</v>
      </c>
      <c r="S32" s="1">
        <f t="shared" si="8"/>
        <v>1.9890000000000001E+33</v>
      </c>
      <c r="T32" s="1">
        <f t="shared" si="9"/>
        <v>0</v>
      </c>
      <c r="U32" s="8">
        <f t="shared" si="1"/>
        <v>2.0151013838833714E-13</v>
      </c>
      <c r="V32" s="11">
        <f t="shared" si="2"/>
        <v>0</v>
      </c>
      <c r="W32" s="1">
        <f t="shared" si="3"/>
        <v>2.5621586019471241E+55</v>
      </c>
      <c r="X32">
        <v>0</v>
      </c>
      <c r="Y32">
        <f t="shared" si="10"/>
        <v>55.408606009803094</v>
      </c>
      <c r="AA32" s="10">
        <f t="shared" si="11"/>
        <v>0.98805017632426306</v>
      </c>
    </row>
    <row r="33" spans="1:27" x14ac:dyDescent="0.25">
      <c r="A33" s="2">
        <v>1</v>
      </c>
      <c r="B33" s="2">
        <v>6.0017990000000001</v>
      </c>
      <c r="C33" s="6">
        <v>3.6411765466131141</v>
      </c>
      <c r="D33" s="2">
        <v>0.28499999999999998</v>
      </c>
      <c r="E33" s="2">
        <v>3671</v>
      </c>
      <c r="F33" s="2">
        <v>2.4159999999999999</v>
      </c>
      <c r="G33" s="2">
        <v>0</v>
      </c>
      <c r="H33" s="2">
        <v>6.5069999999999997</v>
      </c>
      <c r="I33" s="2">
        <v>-0.22120000000000001</v>
      </c>
      <c r="J33" s="2">
        <v>0</v>
      </c>
      <c r="K33" s="2">
        <v>0</v>
      </c>
      <c r="L33" s="2">
        <v>0.44989999999999997</v>
      </c>
      <c r="M33" s="2">
        <v>0</v>
      </c>
      <c r="N33">
        <f t="shared" si="4"/>
        <v>2.4159999999999997E-3</v>
      </c>
      <c r="O33" s="7">
        <f t="shared" si="0"/>
        <v>1004150.9419752297</v>
      </c>
      <c r="P33" s="7">
        <f t="shared" si="5"/>
        <v>31688593766477.508</v>
      </c>
      <c r="Q33">
        <f t="shared" si="6"/>
        <v>168235743999.99997</v>
      </c>
      <c r="R33">
        <f t="shared" si="7"/>
        <v>0</v>
      </c>
      <c r="S33" s="1">
        <f t="shared" si="8"/>
        <v>1.9890000000000001E+33</v>
      </c>
      <c r="T33" s="1">
        <f t="shared" si="9"/>
        <v>0</v>
      </c>
      <c r="U33" s="8">
        <f t="shared" si="1"/>
        <v>1.9827908279812641E-13</v>
      </c>
      <c r="V33" s="11">
        <f t="shared" si="2"/>
        <v>0</v>
      </c>
      <c r="W33" s="1">
        <f t="shared" si="3"/>
        <v>2.5327208319272231E+55</v>
      </c>
      <c r="X33">
        <v>0</v>
      </c>
      <c r="Y33">
        <f t="shared" si="10"/>
        <v>55.403587322504656</v>
      </c>
      <c r="AA33" s="10">
        <f t="shared" si="11"/>
        <v>1.0041509419752297</v>
      </c>
    </row>
    <row r="34" spans="1:27" x14ac:dyDescent="0.25">
      <c r="A34" s="2">
        <v>1</v>
      </c>
      <c r="B34" s="2">
        <v>6.0158630000000004</v>
      </c>
      <c r="C34" s="6">
        <v>3.6410773133253742</v>
      </c>
      <c r="D34" s="2">
        <v>0.27500000000000002</v>
      </c>
      <c r="E34" s="2">
        <v>3681</v>
      </c>
      <c r="F34" s="2">
        <v>2.39</v>
      </c>
      <c r="G34" s="2">
        <v>0</v>
      </c>
      <c r="H34" s="2">
        <v>6.5110000000000001</v>
      </c>
      <c r="I34" s="2">
        <v>-0.20710000000000001</v>
      </c>
      <c r="J34" s="2">
        <v>0</v>
      </c>
      <c r="K34" s="2">
        <v>0</v>
      </c>
      <c r="L34" s="2">
        <v>0.45</v>
      </c>
      <c r="M34" s="2">
        <v>0</v>
      </c>
      <c r="N34">
        <f t="shared" si="4"/>
        <v>2.3900000000000002E-3</v>
      </c>
      <c r="O34" s="7">
        <f t="shared" si="0"/>
        <v>1037201.1747829581</v>
      </c>
      <c r="P34" s="7">
        <f t="shared" si="5"/>
        <v>32731579793330.68</v>
      </c>
      <c r="Q34">
        <f t="shared" si="6"/>
        <v>166425260000</v>
      </c>
      <c r="R34">
        <f t="shared" si="7"/>
        <v>0</v>
      </c>
      <c r="S34" s="1">
        <f t="shared" si="8"/>
        <v>1.9890000000000001E+33</v>
      </c>
      <c r="T34" s="1">
        <f t="shared" si="9"/>
        <v>0</v>
      </c>
      <c r="U34" s="8">
        <f t="shared" si="1"/>
        <v>1.9196095473704679E-13</v>
      </c>
      <c r="V34" s="11">
        <f t="shared" si="2"/>
        <v>0</v>
      </c>
      <c r="W34" s="1">
        <f t="shared" si="3"/>
        <v>2.4790528481988804E+55</v>
      </c>
      <c r="X34">
        <v>0</v>
      </c>
      <c r="Y34">
        <f t="shared" si="10"/>
        <v>55.394285785112523</v>
      </c>
      <c r="AA34" s="10">
        <f t="shared" si="11"/>
        <v>1.0372011747829581</v>
      </c>
    </row>
    <row r="35" spans="1:27" x14ac:dyDescent="0.25">
      <c r="A35" s="2">
        <v>1</v>
      </c>
      <c r="B35" s="2">
        <v>6.0229020000000002</v>
      </c>
      <c r="C35" s="6">
        <v>3.6409780573583319</v>
      </c>
      <c r="D35" s="2">
        <v>0.27</v>
      </c>
      <c r="E35" s="2">
        <v>3686</v>
      </c>
      <c r="F35" s="2">
        <v>2.3769999999999998</v>
      </c>
      <c r="G35" s="2">
        <v>0</v>
      </c>
      <c r="H35" s="2">
        <v>6.5140000000000002</v>
      </c>
      <c r="I35" s="2">
        <v>-0.2</v>
      </c>
      <c r="J35" s="2">
        <v>0</v>
      </c>
      <c r="K35" s="2">
        <v>0</v>
      </c>
      <c r="L35" s="2">
        <v>0.45</v>
      </c>
      <c r="M35" s="2">
        <v>0</v>
      </c>
      <c r="N35">
        <f t="shared" si="4"/>
        <v>2.3769999999999998E-3</v>
      </c>
      <c r="O35" s="7">
        <f t="shared" si="0"/>
        <v>1054148.9973097432</v>
      </c>
      <c r="P35" s="7">
        <f t="shared" si="5"/>
        <v>33266412397501.953</v>
      </c>
      <c r="Q35">
        <f t="shared" si="6"/>
        <v>165520018000</v>
      </c>
      <c r="R35">
        <f t="shared" si="7"/>
        <v>0</v>
      </c>
      <c r="S35" s="1">
        <f t="shared" si="8"/>
        <v>1.9890000000000001E+33</v>
      </c>
      <c r="T35" s="1">
        <f t="shared" si="9"/>
        <v>0</v>
      </c>
      <c r="U35" s="8">
        <f t="shared" si="1"/>
        <v>1.8887474946506117E-13</v>
      </c>
      <c r="V35" s="11">
        <f t="shared" si="2"/>
        <v>0</v>
      </c>
      <c r="W35" s="1">
        <f t="shared" si="3"/>
        <v>2.4521574184872626E+55</v>
      </c>
      <c r="X35">
        <v>0</v>
      </c>
      <c r="Y35">
        <f t="shared" si="10"/>
        <v>55.389548346672605</v>
      </c>
      <c r="AA35" s="10">
        <f t="shared" si="11"/>
        <v>1.0541489973097431</v>
      </c>
    </row>
    <row r="36" spans="1:27" x14ac:dyDescent="0.25">
      <c r="A36" s="2">
        <v>1</v>
      </c>
      <c r="B36" s="2">
        <v>6.0299480000000001</v>
      </c>
      <c r="C36" s="6">
        <v>3.6409780573583319</v>
      </c>
      <c r="D36" s="2">
        <v>0.26500000000000001</v>
      </c>
      <c r="E36" s="2">
        <v>3690</v>
      </c>
      <c r="F36" s="2">
        <v>2.3639999999999999</v>
      </c>
      <c r="G36" s="2">
        <v>0</v>
      </c>
      <c r="H36" s="2">
        <v>6.516</v>
      </c>
      <c r="I36" s="2">
        <v>-0.193</v>
      </c>
      <c r="J36" s="2">
        <v>0</v>
      </c>
      <c r="K36" s="2">
        <v>0</v>
      </c>
      <c r="L36" s="2">
        <v>0.4501</v>
      </c>
      <c r="M36" s="2">
        <v>0</v>
      </c>
      <c r="N36">
        <f t="shared" si="4"/>
        <v>2.3639999999999998E-3</v>
      </c>
      <c r="O36" s="7">
        <f t="shared" si="0"/>
        <v>1071391.0151704168</v>
      </c>
      <c r="P36" s="7">
        <f t="shared" si="5"/>
        <v>33810529100341.945</v>
      </c>
      <c r="Q36">
        <f t="shared" si="6"/>
        <v>164614776000</v>
      </c>
      <c r="R36">
        <f t="shared" si="7"/>
        <v>0</v>
      </c>
      <c r="S36" s="1">
        <f t="shared" si="8"/>
        <v>1.9890000000000001E+33</v>
      </c>
      <c r="T36" s="1">
        <f t="shared" si="9"/>
        <v>0</v>
      </c>
      <c r="U36" s="8">
        <f t="shared" si="1"/>
        <v>1.8583516656993223E-13</v>
      </c>
      <c r="V36" s="11">
        <f t="shared" si="2"/>
        <v>0</v>
      </c>
      <c r="W36" s="1">
        <f t="shared" si="3"/>
        <v>2.4259476605681965E+55</v>
      </c>
      <c r="X36">
        <v>0</v>
      </c>
      <c r="Y36">
        <f t="shared" si="10"/>
        <v>55.384881426797818</v>
      </c>
      <c r="AA36" s="10">
        <f t="shared" si="11"/>
        <v>1.0713910151704169</v>
      </c>
    </row>
    <row r="37" spans="1:27" x14ac:dyDescent="0.25">
      <c r="A37" s="2">
        <v>1</v>
      </c>
      <c r="B37" s="2">
        <v>6.0440569999999996</v>
      </c>
      <c r="C37" s="6">
        <v>3.6407794773448572</v>
      </c>
      <c r="D37" s="2">
        <v>0.255</v>
      </c>
      <c r="E37" s="2">
        <v>3700</v>
      </c>
      <c r="F37" s="2">
        <v>2.3380000000000001</v>
      </c>
      <c r="G37" s="2">
        <v>0</v>
      </c>
      <c r="H37" s="2">
        <v>6.5209999999999999</v>
      </c>
      <c r="I37" s="2">
        <v>-0.1789</v>
      </c>
      <c r="J37" s="2">
        <v>0</v>
      </c>
      <c r="K37" s="2">
        <v>0</v>
      </c>
      <c r="L37" s="2">
        <v>0.45019999999999999</v>
      </c>
      <c r="M37" s="2">
        <v>0</v>
      </c>
      <c r="N37">
        <f t="shared" si="4"/>
        <v>2.3380000000000002E-3</v>
      </c>
      <c r="O37" s="7">
        <f t="shared" si="0"/>
        <v>1106769.0349487884</v>
      </c>
      <c r="P37" s="7">
        <f t="shared" si="5"/>
        <v>34926974497299.883</v>
      </c>
      <c r="Q37">
        <f t="shared" si="6"/>
        <v>162804292000</v>
      </c>
      <c r="R37">
        <f t="shared" si="7"/>
        <v>0</v>
      </c>
      <c r="S37" s="1">
        <f t="shared" si="8"/>
        <v>1.9890000000000001E+33</v>
      </c>
      <c r="T37" s="1">
        <f t="shared" si="9"/>
        <v>0</v>
      </c>
      <c r="U37" s="8">
        <f t="shared" si="1"/>
        <v>1.7989492069132193E-13</v>
      </c>
      <c r="V37" s="11">
        <f t="shared" si="2"/>
        <v>0</v>
      </c>
      <c r="W37" s="1">
        <f t="shared" si="3"/>
        <v>2.3734056602140676E+55</v>
      </c>
      <c r="X37">
        <v>0</v>
      </c>
      <c r="Y37">
        <f t="shared" si="10"/>
        <v>55.375371973757048</v>
      </c>
      <c r="AA37" s="10">
        <f t="shared" si="11"/>
        <v>1.1067690349487884</v>
      </c>
    </row>
    <row r="38" spans="1:27" x14ac:dyDescent="0.25">
      <c r="A38" s="2">
        <v>1</v>
      </c>
      <c r="B38" s="2">
        <v>6.0511220000000003</v>
      </c>
      <c r="C38" s="6">
        <v>3.6407794773448572</v>
      </c>
      <c r="D38" s="2">
        <v>0.25</v>
      </c>
      <c r="E38" s="2">
        <v>3705</v>
      </c>
      <c r="F38" s="2">
        <v>2.3250000000000002</v>
      </c>
      <c r="G38" s="2">
        <v>0</v>
      </c>
      <c r="H38" s="2">
        <v>6.5229999999999997</v>
      </c>
      <c r="I38" s="2">
        <v>-0.17180000000000001</v>
      </c>
      <c r="J38" s="2">
        <v>0</v>
      </c>
      <c r="K38" s="2">
        <v>0</v>
      </c>
      <c r="L38" s="2">
        <v>0.45019999999999999</v>
      </c>
      <c r="M38" s="2">
        <v>0</v>
      </c>
      <c r="N38">
        <f t="shared" si="4"/>
        <v>2.3250000000000002E-3</v>
      </c>
      <c r="O38" s="7">
        <f t="shared" si="0"/>
        <v>1124920.937179439</v>
      </c>
      <c r="P38" s="7">
        <f t="shared" si="5"/>
        <v>35499804967133.867</v>
      </c>
      <c r="Q38">
        <f t="shared" si="6"/>
        <v>161899050000</v>
      </c>
      <c r="R38">
        <f t="shared" si="7"/>
        <v>0</v>
      </c>
      <c r="S38" s="1">
        <f t="shared" si="8"/>
        <v>1.9890000000000001E+33</v>
      </c>
      <c r="T38" s="1">
        <f t="shared" si="9"/>
        <v>0</v>
      </c>
      <c r="U38" s="8">
        <f t="shared" si="1"/>
        <v>1.7699210778753947E-13</v>
      </c>
      <c r="V38" s="11">
        <f t="shared" si="2"/>
        <v>0</v>
      </c>
      <c r="W38" s="1">
        <f t="shared" si="3"/>
        <v>2.3470853061068383E+55</v>
      </c>
      <c r="X38">
        <v>0</v>
      </c>
      <c r="Y38">
        <f t="shared" si="10"/>
        <v>55.370528874557351</v>
      </c>
      <c r="AA38" s="10">
        <f t="shared" si="11"/>
        <v>1.1249209371794391</v>
      </c>
    </row>
    <row r="39" spans="1:27" x14ac:dyDescent="0.25">
      <c r="A39" s="2">
        <v>1</v>
      </c>
      <c r="B39" s="2">
        <v>6.0652699999999999</v>
      </c>
      <c r="C39" s="6">
        <v>3.6405808064896528</v>
      </c>
      <c r="D39" s="2">
        <v>0.24</v>
      </c>
      <c r="E39" s="2">
        <v>3714</v>
      </c>
      <c r="F39" s="2">
        <v>2.2989999999999999</v>
      </c>
      <c r="G39" s="2">
        <v>0</v>
      </c>
      <c r="H39" s="2">
        <v>6.5279999999999996</v>
      </c>
      <c r="I39" s="2">
        <v>-0.15770000000000001</v>
      </c>
      <c r="J39" s="2">
        <v>0</v>
      </c>
      <c r="K39" s="2">
        <v>0</v>
      </c>
      <c r="L39" s="2">
        <v>0.45030000000000003</v>
      </c>
      <c r="M39" s="2">
        <v>0</v>
      </c>
      <c r="N39">
        <f t="shared" si="4"/>
        <v>2.2989999999999998E-3</v>
      </c>
      <c r="O39" s="7">
        <f t="shared" si="0"/>
        <v>1162170.90859309</v>
      </c>
      <c r="P39" s="7">
        <f t="shared" si="5"/>
        <v>36675324665017.297</v>
      </c>
      <c r="Q39">
        <f t="shared" si="6"/>
        <v>160088565999.99997</v>
      </c>
      <c r="R39">
        <f t="shared" si="7"/>
        <v>0</v>
      </c>
      <c r="S39" s="1">
        <f t="shared" si="8"/>
        <v>1.9890000000000001E+33</v>
      </c>
      <c r="T39" s="1">
        <f t="shared" si="9"/>
        <v>0</v>
      </c>
      <c r="U39" s="8">
        <f t="shared" si="1"/>
        <v>1.7131914617167091E-13</v>
      </c>
      <c r="V39" s="11">
        <f t="shared" si="2"/>
        <v>0</v>
      </c>
      <c r="W39" s="1">
        <f t="shared" si="3"/>
        <v>2.2953946175998009E+55</v>
      </c>
      <c r="X39">
        <v>0</v>
      </c>
      <c r="Y39">
        <f t="shared" si="10"/>
        <v>55.36085735894239</v>
      </c>
      <c r="AA39" s="10">
        <f t="shared" si="11"/>
        <v>1.16217090859309</v>
      </c>
    </row>
    <row r="40" spans="1:27" x14ac:dyDescent="0.25">
      <c r="A40" s="2">
        <v>1</v>
      </c>
      <c r="B40" s="2">
        <v>6.0723529999999997</v>
      </c>
      <c r="C40" s="6">
        <v>3.6405808064896528</v>
      </c>
      <c r="D40" s="2">
        <v>0.23499999999999999</v>
      </c>
      <c r="E40" s="2">
        <v>3719</v>
      </c>
      <c r="F40" s="2">
        <v>2.2869999999999999</v>
      </c>
      <c r="G40" s="2">
        <v>-4.0000000000000002E-4</v>
      </c>
      <c r="H40" s="2">
        <v>6.53</v>
      </c>
      <c r="I40" s="2">
        <v>-0.1507</v>
      </c>
      <c r="J40" s="2">
        <v>0</v>
      </c>
      <c r="K40" s="2">
        <v>0</v>
      </c>
      <c r="L40" s="2">
        <v>0.45030000000000003</v>
      </c>
      <c r="M40" s="2">
        <v>0</v>
      </c>
      <c r="N40">
        <f t="shared" si="4"/>
        <v>2.287E-3</v>
      </c>
      <c r="O40" s="7">
        <f t="shared" si="0"/>
        <v>1181280.4050665102</v>
      </c>
      <c r="P40" s="7">
        <f t="shared" si="5"/>
        <v>37278374510926.898</v>
      </c>
      <c r="Q40">
        <f t="shared" si="6"/>
        <v>159252958000</v>
      </c>
      <c r="R40">
        <f t="shared" si="7"/>
        <v>0</v>
      </c>
      <c r="S40" s="1">
        <f t="shared" si="8"/>
        <v>1.9890000000000001E+33</v>
      </c>
      <c r="T40" s="1">
        <f t="shared" si="9"/>
        <v>0</v>
      </c>
      <c r="U40" s="8">
        <f t="shared" si="1"/>
        <v>1.6854772745892884E-13</v>
      </c>
      <c r="V40" s="11">
        <f t="shared" si="2"/>
        <v>0</v>
      </c>
      <c r="W40" s="1">
        <f t="shared" si="3"/>
        <v>2.2714947930461394E+55</v>
      </c>
      <c r="X40">
        <v>0</v>
      </c>
      <c r="Y40">
        <f t="shared" si="10"/>
        <v>55.356311745617333</v>
      </c>
      <c r="AA40" s="10">
        <f t="shared" si="11"/>
        <v>1.1812804050665102</v>
      </c>
    </row>
    <row r="41" spans="1:27" x14ac:dyDescent="0.25">
      <c r="A41" s="2">
        <v>1</v>
      </c>
      <c r="B41" s="2">
        <v>6.0794449999999998</v>
      </c>
      <c r="C41" s="6">
        <v>3.6404814369704219</v>
      </c>
      <c r="D41" s="2">
        <v>0.22900000000000001</v>
      </c>
      <c r="E41" s="2">
        <v>3724</v>
      </c>
      <c r="F41" s="2">
        <v>2.274</v>
      </c>
      <c r="G41" s="2">
        <v>-4.0000000000000002E-4</v>
      </c>
      <c r="H41" s="2">
        <v>6.5330000000000004</v>
      </c>
      <c r="I41" s="2">
        <v>-0.14360000000000001</v>
      </c>
      <c r="J41" s="2">
        <v>0</v>
      </c>
      <c r="K41" s="2">
        <v>0</v>
      </c>
      <c r="L41" s="2">
        <v>0.45039999999999997</v>
      </c>
      <c r="M41" s="2">
        <v>0</v>
      </c>
      <c r="N41">
        <f t="shared" si="4"/>
        <v>2.274E-3</v>
      </c>
      <c r="O41" s="7">
        <f t="shared" si="0"/>
        <v>1200729.0004471322</v>
      </c>
      <c r="P41" s="7">
        <f t="shared" si="5"/>
        <v>37892125504510.414</v>
      </c>
      <c r="Q41">
        <f t="shared" si="6"/>
        <v>158347716000</v>
      </c>
      <c r="R41">
        <f t="shared" si="7"/>
        <v>0</v>
      </c>
      <c r="S41" s="1">
        <f t="shared" si="8"/>
        <v>1.9890000000000001E+33</v>
      </c>
      <c r="T41" s="1">
        <f t="shared" si="9"/>
        <v>0</v>
      </c>
      <c r="U41" s="8">
        <f t="shared" si="1"/>
        <v>1.658177054869007E-13</v>
      </c>
      <c r="V41" s="11">
        <f t="shared" si="2"/>
        <v>0</v>
      </c>
      <c r="W41" s="1">
        <f t="shared" si="3"/>
        <v>2.2462431824054644E+55</v>
      </c>
      <c r="X41">
        <v>0</v>
      </c>
      <c r="Y41">
        <f t="shared" si="10"/>
        <v>55.351456771987621</v>
      </c>
      <c r="AA41" s="10">
        <f t="shared" si="11"/>
        <v>1.2007290004471323</v>
      </c>
    </row>
    <row r="42" spans="1:27" x14ac:dyDescent="0.25">
      <c r="A42" s="2">
        <v>1</v>
      </c>
      <c r="B42" s="2">
        <v>6.093642</v>
      </c>
      <c r="C42" s="6">
        <v>3.6403820447095683</v>
      </c>
      <c r="D42" s="2">
        <v>0.219</v>
      </c>
      <c r="E42" s="2">
        <v>3733</v>
      </c>
      <c r="F42" s="2">
        <v>2.2490000000000001</v>
      </c>
      <c r="G42" s="2">
        <v>-4.0000000000000002E-4</v>
      </c>
      <c r="H42" s="2">
        <v>6.5369999999999999</v>
      </c>
      <c r="I42" s="2">
        <v>-0.1295</v>
      </c>
      <c r="J42" s="2">
        <v>0</v>
      </c>
      <c r="K42" s="2">
        <v>0</v>
      </c>
      <c r="L42" s="2">
        <v>0.45039999999999997</v>
      </c>
      <c r="M42" s="2">
        <v>0</v>
      </c>
      <c r="N42">
        <f t="shared" si="4"/>
        <v>2.2490000000000001E-3</v>
      </c>
      <c r="O42" s="7">
        <f t="shared" si="0"/>
        <v>1240629.20372193</v>
      </c>
      <c r="P42" s="7">
        <f t="shared" si="5"/>
        <v>39151280159375.18</v>
      </c>
      <c r="Q42">
        <f t="shared" si="6"/>
        <v>156606866000</v>
      </c>
      <c r="R42">
        <f t="shared" si="7"/>
        <v>0</v>
      </c>
      <c r="S42" s="1">
        <f t="shared" si="8"/>
        <v>1.9890000000000001E+33</v>
      </c>
      <c r="T42" s="1">
        <f t="shared" si="9"/>
        <v>0</v>
      </c>
      <c r="U42" s="8">
        <f t="shared" si="1"/>
        <v>1.604847984945139E-13</v>
      </c>
      <c r="V42" s="11">
        <f t="shared" si="2"/>
        <v>0</v>
      </c>
      <c r="W42" s="1">
        <f t="shared" si="3"/>
        <v>2.1971249818896537E+55</v>
      </c>
      <c r="X42">
        <v>0</v>
      </c>
      <c r="Y42">
        <f t="shared" si="10"/>
        <v>55.341854762155457</v>
      </c>
      <c r="AA42" s="10">
        <f t="shared" si="11"/>
        <v>1.24062920372193</v>
      </c>
    </row>
    <row r="43" spans="1:27" x14ac:dyDescent="0.25">
      <c r="A43" s="2">
        <v>1</v>
      </c>
      <c r="B43" s="2">
        <v>6.1007530000000001</v>
      </c>
      <c r="C43" s="6">
        <v>3.640282629696681</v>
      </c>
      <c r="D43" s="2">
        <v>0.214</v>
      </c>
      <c r="E43" s="2">
        <v>3738</v>
      </c>
      <c r="F43" s="2">
        <v>2.2370000000000001</v>
      </c>
      <c r="G43" s="2">
        <v>-4.0000000000000002E-4</v>
      </c>
      <c r="H43" s="2">
        <v>6.54</v>
      </c>
      <c r="I43" s="2">
        <v>-0.12239999999999999</v>
      </c>
      <c r="J43" s="5">
        <v>0</v>
      </c>
      <c r="K43" s="2">
        <v>0</v>
      </c>
      <c r="L43" s="2">
        <v>0.45050000000000001</v>
      </c>
      <c r="M43" s="2">
        <v>0</v>
      </c>
      <c r="N43">
        <f t="shared" si="4"/>
        <v>2.2370000000000003E-3</v>
      </c>
      <c r="O43" s="7">
        <f t="shared" si="0"/>
        <v>1261110.0887076084</v>
      </c>
      <c r="P43" s="7">
        <f t="shared" si="5"/>
        <v>39797607735399.227</v>
      </c>
      <c r="Q43">
        <f t="shared" si="6"/>
        <v>155771258000</v>
      </c>
      <c r="R43">
        <f t="shared" si="7"/>
        <v>0</v>
      </c>
      <c r="S43" s="1">
        <f t="shared" si="8"/>
        <v>1.9890000000000001E+33</v>
      </c>
      <c r="T43" s="1">
        <f t="shared" si="9"/>
        <v>0</v>
      </c>
      <c r="U43" s="8">
        <f t="shared" si="1"/>
        <v>1.5787846719215764E-13</v>
      </c>
      <c r="V43" s="11">
        <f t="shared" si="2"/>
        <v>0</v>
      </c>
      <c r="W43" s="1">
        <f t="shared" si="3"/>
        <v>2.1742237376211142E+55</v>
      </c>
      <c r="X43">
        <v>0</v>
      </c>
      <c r="Y43">
        <f t="shared" si="10"/>
        <v>55.337304232949243</v>
      </c>
      <c r="AA43" s="10">
        <f t="shared" si="11"/>
        <v>1.2611100887076083</v>
      </c>
    </row>
    <row r="44" spans="1:27" x14ac:dyDescent="0.25">
      <c r="A44" s="2">
        <v>1</v>
      </c>
      <c r="B44" s="2">
        <v>6.1149909999999998</v>
      </c>
      <c r="C44" s="6">
        <v>3.6401831919213401</v>
      </c>
      <c r="D44" s="2">
        <v>0.20399999999999999</v>
      </c>
      <c r="E44" s="2">
        <v>3748</v>
      </c>
      <c r="F44" s="2">
        <v>2.2120000000000002</v>
      </c>
      <c r="G44" s="2">
        <v>-4.0000000000000002E-4</v>
      </c>
      <c r="H44" s="2">
        <v>6.5439999999999996</v>
      </c>
      <c r="I44" s="2">
        <v>-0.10829999999999999</v>
      </c>
      <c r="J44" s="5">
        <v>0</v>
      </c>
      <c r="K44" s="2">
        <v>0</v>
      </c>
      <c r="L44" s="2">
        <v>0.45050000000000001</v>
      </c>
      <c r="M44" s="2">
        <v>0</v>
      </c>
      <c r="N44">
        <f t="shared" si="4"/>
        <v>2.212E-3</v>
      </c>
      <c r="O44" s="7">
        <f t="shared" si="0"/>
        <v>1303139.7728605445</v>
      </c>
      <c r="P44" s="7">
        <f t="shared" si="5"/>
        <v>41123963696023.922</v>
      </c>
      <c r="Q44">
        <f t="shared" si="6"/>
        <v>154030408000</v>
      </c>
      <c r="R44">
        <f t="shared" si="7"/>
        <v>0</v>
      </c>
      <c r="S44" s="1">
        <f t="shared" si="8"/>
        <v>1.9890000000000001E+33</v>
      </c>
      <c r="T44" s="1">
        <f t="shared" si="9"/>
        <v>0</v>
      </c>
      <c r="U44" s="8">
        <f t="shared" si="1"/>
        <v>1.5278647149927033E-13</v>
      </c>
      <c r="V44" s="11">
        <f t="shared" si="2"/>
        <v>0</v>
      </c>
      <c r="W44" s="1">
        <f t="shared" si="3"/>
        <v>2.1258984242240428E+55</v>
      </c>
      <c r="X44">
        <v>0</v>
      </c>
      <c r="Y44">
        <f t="shared" si="10"/>
        <v>55.327542510021303</v>
      </c>
      <c r="AA44" s="10">
        <f t="shared" si="11"/>
        <v>1.3031397728605445</v>
      </c>
    </row>
    <row r="45" spans="1:27" x14ac:dyDescent="0.25">
      <c r="A45" s="2">
        <v>1</v>
      </c>
      <c r="B45" s="2">
        <v>6.1221209999999999</v>
      </c>
      <c r="C45" s="6">
        <v>3.6400837313731205</v>
      </c>
      <c r="D45" s="2">
        <v>0.19900000000000001</v>
      </c>
      <c r="E45" s="2">
        <v>3753</v>
      </c>
      <c r="F45" s="2">
        <v>2.2000000000000002</v>
      </c>
      <c r="G45" s="2">
        <v>-4.0000000000000002E-4</v>
      </c>
      <c r="H45" s="2">
        <v>6.5469999999999997</v>
      </c>
      <c r="I45" s="2">
        <v>-0.1013</v>
      </c>
      <c r="J45" s="5">
        <v>0</v>
      </c>
      <c r="K45" s="2">
        <v>0</v>
      </c>
      <c r="L45" s="2">
        <v>0.4506</v>
      </c>
      <c r="M45" s="2">
        <v>0</v>
      </c>
      <c r="N45">
        <f t="shared" si="4"/>
        <v>2.2000000000000001E-3</v>
      </c>
      <c r="O45" s="7">
        <f t="shared" si="0"/>
        <v>1324710.5650988205</v>
      </c>
      <c r="P45" s="7">
        <f t="shared" si="5"/>
        <v>41804686129162.539</v>
      </c>
      <c r="Q45">
        <f t="shared" si="6"/>
        <v>153194800000</v>
      </c>
      <c r="R45">
        <f t="shared" si="7"/>
        <v>0</v>
      </c>
      <c r="S45" s="1">
        <f t="shared" si="8"/>
        <v>1.9890000000000001E+33</v>
      </c>
      <c r="T45" s="1">
        <f t="shared" si="9"/>
        <v>0</v>
      </c>
      <c r="U45" s="8">
        <f t="shared" si="1"/>
        <v>1.5029858824359162E-13</v>
      </c>
      <c r="V45" s="11">
        <f t="shared" si="2"/>
        <v>0</v>
      </c>
      <c r="W45" s="1">
        <f t="shared" si="3"/>
        <v>2.1033619753966072E+55</v>
      </c>
      <c r="X45">
        <v>0</v>
      </c>
      <c r="Y45">
        <f t="shared" si="10"/>
        <v>55.322914018473128</v>
      </c>
      <c r="AA45" s="10">
        <f t="shared" si="11"/>
        <v>1.3247105650988205</v>
      </c>
    </row>
    <row r="46" spans="1:27" x14ac:dyDescent="0.25">
      <c r="A46" s="2">
        <v>1</v>
      </c>
      <c r="B46" s="2">
        <v>6.1292549999999997</v>
      </c>
      <c r="C46" s="6">
        <v>3.6400837313731205</v>
      </c>
      <c r="D46" s="2">
        <v>0.19400000000000001</v>
      </c>
      <c r="E46" s="2">
        <v>3757</v>
      </c>
      <c r="F46" s="2">
        <v>2.1880000000000002</v>
      </c>
      <c r="G46" s="2">
        <v>-8.9999999999999998E-4</v>
      </c>
      <c r="H46" s="2">
        <v>6.5490000000000004</v>
      </c>
      <c r="I46" s="2">
        <v>-9.4200000000000006E-2</v>
      </c>
      <c r="J46" s="5">
        <v>0</v>
      </c>
      <c r="K46" s="2">
        <v>0</v>
      </c>
      <c r="L46" s="2">
        <v>0.4506</v>
      </c>
      <c r="M46" s="2">
        <v>0</v>
      </c>
      <c r="N46">
        <f t="shared" si="4"/>
        <v>2.1880000000000003E-3</v>
      </c>
      <c r="O46" s="7">
        <f t="shared" si="0"/>
        <v>1346650.8203850945</v>
      </c>
      <c r="P46" s="7">
        <f t="shared" si="5"/>
        <v>42497067929384.656</v>
      </c>
      <c r="Q46">
        <f t="shared" si="6"/>
        <v>152359192000</v>
      </c>
      <c r="R46">
        <f t="shared" si="7"/>
        <v>0</v>
      </c>
      <c r="S46" s="1">
        <f t="shared" si="8"/>
        <v>1.9890000000000001E+33</v>
      </c>
      <c r="T46" s="1">
        <f t="shared" si="9"/>
        <v>0</v>
      </c>
      <c r="U46" s="8">
        <f t="shared" si="1"/>
        <v>1.4784985443278238E-13</v>
      </c>
      <c r="V46" s="11">
        <f t="shared" si="2"/>
        <v>0</v>
      </c>
      <c r="W46" s="1">
        <f t="shared" si="3"/>
        <v>2.0804787877568376E+55</v>
      </c>
      <c r="X46">
        <v>0</v>
      </c>
      <c r="Y46">
        <f t="shared" si="10"/>
        <v>55.318163292151503</v>
      </c>
      <c r="AA46" s="10">
        <f t="shared" si="11"/>
        <v>1.3466508203850944</v>
      </c>
    </row>
    <row r="47" spans="1:27" x14ac:dyDescent="0.25">
      <c r="A47" s="2">
        <v>1</v>
      </c>
      <c r="B47" s="2">
        <v>6.1435430000000002</v>
      </c>
      <c r="C47" s="6">
        <v>3.6398847419163043</v>
      </c>
      <c r="D47" s="2">
        <v>0.184</v>
      </c>
      <c r="E47" s="2">
        <v>3767</v>
      </c>
      <c r="F47" s="2">
        <v>2.1640000000000001</v>
      </c>
      <c r="G47" s="2">
        <v>-8.9999999999999998E-4</v>
      </c>
      <c r="H47" s="2">
        <v>6.5540000000000003</v>
      </c>
      <c r="I47" s="2">
        <v>-8.0100000000000005E-2</v>
      </c>
      <c r="J47" s="5">
        <v>0</v>
      </c>
      <c r="K47" s="2">
        <v>0</v>
      </c>
      <c r="L47" s="2">
        <v>0.45069999999999999</v>
      </c>
      <c r="M47" s="2">
        <v>0</v>
      </c>
      <c r="N47">
        <f t="shared" si="4"/>
        <v>2.1640000000000001E-3</v>
      </c>
      <c r="O47" s="7">
        <f t="shared" si="0"/>
        <v>1391691.5810197825</v>
      </c>
      <c r="P47" s="7">
        <f t="shared" si="5"/>
        <v>43918446237189.891</v>
      </c>
      <c r="Q47">
        <f t="shared" si="6"/>
        <v>150687976000.00003</v>
      </c>
      <c r="R47">
        <f t="shared" si="7"/>
        <v>0</v>
      </c>
      <c r="S47" s="1">
        <f t="shared" si="8"/>
        <v>1.9890000000000001E+33</v>
      </c>
      <c r="T47" s="1">
        <f t="shared" si="9"/>
        <v>0</v>
      </c>
      <c r="U47" s="8">
        <f t="shared" si="1"/>
        <v>1.4306483597452546E-13</v>
      </c>
      <c r="V47" s="11">
        <f t="shared" si="2"/>
        <v>0</v>
      </c>
      <c r="W47" s="1">
        <f t="shared" si="3"/>
        <v>2.0355395282315905E+55</v>
      </c>
      <c r="X47">
        <v>0</v>
      </c>
      <c r="Y47">
        <f t="shared" si="10"/>
        <v>55.308679540380943</v>
      </c>
      <c r="AA47" s="10">
        <f t="shared" si="11"/>
        <v>1.3916915810197825</v>
      </c>
    </row>
    <row r="48" spans="1:27" x14ac:dyDescent="0.25">
      <c r="A48" s="2">
        <v>1</v>
      </c>
      <c r="B48" s="2">
        <v>6.1506949999999998</v>
      </c>
      <c r="C48" s="6">
        <v>3.6398847419163043</v>
      </c>
      <c r="D48" s="2">
        <v>0.17899999999999999</v>
      </c>
      <c r="E48" s="2">
        <v>3772</v>
      </c>
      <c r="F48" s="2">
        <v>2.1520000000000001</v>
      </c>
      <c r="G48" s="2">
        <v>-8.9999999999999998E-4</v>
      </c>
      <c r="H48" s="2">
        <v>6.556</v>
      </c>
      <c r="I48" s="2">
        <v>-7.2999999999999995E-2</v>
      </c>
      <c r="J48" s="5">
        <v>0</v>
      </c>
      <c r="K48" s="2">
        <v>0</v>
      </c>
      <c r="L48" s="2">
        <v>0.45069999999999999</v>
      </c>
      <c r="M48" s="2">
        <v>0</v>
      </c>
      <c r="N48">
        <f t="shared" si="4"/>
        <v>2.1520000000000003E-3</v>
      </c>
      <c r="O48" s="7">
        <f t="shared" si="0"/>
        <v>1414799.8333925251</v>
      </c>
      <c r="P48" s="7">
        <f t="shared" si="5"/>
        <v>44647687222267.953</v>
      </c>
      <c r="Q48">
        <f t="shared" si="6"/>
        <v>149852368000</v>
      </c>
      <c r="R48">
        <f t="shared" si="7"/>
        <v>0</v>
      </c>
      <c r="S48" s="1">
        <f t="shared" si="8"/>
        <v>1.9890000000000001E+33</v>
      </c>
      <c r="T48" s="1">
        <f t="shared" si="9"/>
        <v>0</v>
      </c>
      <c r="U48" s="8">
        <f t="shared" si="1"/>
        <v>1.4072812497319814E-13</v>
      </c>
      <c r="V48" s="11">
        <f t="shared" si="2"/>
        <v>0</v>
      </c>
      <c r="W48" s="1">
        <f t="shared" si="3"/>
        <v>2.0130268217255793E+55</v>
      </c>
      <c r="X48">
        <v>0</v>
      </c>
      <c r="Y48">
        <f t="shared" si="10"/>
        <v>55.303849561500584</v>
      </c>
      <c r="AA48" s="10">
        <f t="shared" si="11"/>
        <v>1.4147998333925251</v>
      </c>
    </row>
    <row r="49" spans="1:27" x14ac:dyDescent="0.25">
      <c r="A49" s="2">
        <v>1</v>
      </c>
      <c r="B49" s="2">
        <v>6.1650159999999996</v>
      </c>
      <c r="C49" s="6">
        <v>3.6396856612426816</v>
      </c>
      <c r="D49" s="2">
        <v>0.16900000000000001</v>
      </c>
      <c r="E49" s="2">
        <v>3781</v>
      </c>
      <c r="F49" s="2">
        <v>2.129</v>
      </c>
      <c r="G49" s="2">
        <v>-1.2999999999999999E-3</v>
      </c>
      <c r="H49" s="2">
        <v>6.5609999999999999</v>
      </c>
      <c r="I49" s="2">
        <v>-5.8799999999999998E-2</v>
      </c>
      <c r="J49" s="5">
        <v>0</v>
      </c>
      <c r="K49" s="2">
        <v>0</v>
      </c>
      <c r="L49" s="2">
        <v>0.45080000000000003</v>
      </c>
      <c r="M49" s="2">
        <v>0</v>
      </c>
      <c r="N49">
        <f t="shared" si="4"/>
        <v>2.1289999999999998E-3</v>
      </c>
      <c r="O49" s="7">
        <f t="shared" si="0"/>
        <v>1462231.0440468709</v>
      </c>
      <c r="P49" s="7">
        <f t="shared" si="5"/>
        <v>46144502395613.531</v>
      </c>
      <c r="Q49">
        <f t="shared" si="6"/>
        <v>148250786000</v>
      </c>
      <c r="R49">
        <f t="shared" si="7"/>
        <v>0</v>
      </c>
      <c r="S49" s="1">
        <f t="shared" si="8"/>
        <v>1.9890000000000001E+33</v>
      </c>
      <c r="T49" s="1">
        <f t="shared" si="9"/>
        <v>0</v>
      </c>
      <c r="U49" s="8">
        <f t="shared" si="1"/>
        <v>1.3616324764565804E-13</v>
      </c>
      <c r="V49" s="11">
        <f t="shared" si="2"/>
        <v>0</v>
      </c>
      <c r="W49" s="1">
        <f t="shared" si="3"/>
        <v>1.9706645295563964E+55</v>
      </c>
      <c r="X49">
        <v>0</v>
      </c>
      <c r="Y49">
        <f t="shared" si="10"/>
        <v>55.294612699691619</v>
      </c>
      <c r="AA49" s="10">
        <f t="shared" si="11"/>
        <v>1.4622310440468709</v>
      </c>
    </row>
    <row r="50" spans="1:27" x14ac:dyDescent="0.25">
      <c r="A50" s="2">
        <v>1</v>
      </c>
      <c r="B50" s="2">
        <v>6.1721849999999998</v>
      </c>
      <c r="C50" s="6">
        <v>3.6396856612426816</v>
      </c>
      <c r="D50" s="2">
        <v>0.16400000000000001</v>
      </c>
      <c r="E50" s="2">
        <v>3786</v>
      </c>
      <c r="F50" s="2">
        <v>2.117</v>
      </c>
      <c r="G50" s="2">
        <v>-1.6999999999999999E-3</v>
      </c>
      <c r="H50" s="2">
        <v>6.5629999999999997</v>
      </c>
      <c r="I50" s="2">
        <v>-5.1799999999999999E-2</v>
      </c>
      <c r="J50" s="5">
        <v>0</v>
      </c>
      <c r="K50" s="2">
        <v>0</v>
      </c>
      <c r="L50" s="2">
        <v>0.45080000000000003</v>
      </c>
      <c r="M50" s="2">
        <v>0</v>
      </c>
      <c r="N50">
        <f t="shared" si="4"/>
        <v>2.117E-3</v>
      </c>
      <c r="O50" s="7">
        <f t="shared" si="0"/>
        <v>1486568.7533761384</v>
      </c>
      <c r="P50" s="7">
        <f t="shared" si="5"/>
        <v>46912542091542.828</v>
      </c>
      <c r="Q50">
        <f t="shared" si="6"/>
        <v>147415178000</v>
      </c>
      <c r="R50">
        <f t="shared" si="7"/>
        <v>0</v>
      </c>
      <c r="S50" s="1">
        <f t="shared" si="8"/>
        <v>1.9890000000000001E+33</v>
      </c>
      <c r="T50" s="1">
        <f t="shared" si="9"/>
        <v>0</v>
      </c>
      <c r="U50" s="8">
        <f t="shared" si="1"/>
        <v>1.3393401907146467E-13</v>
      </c>
      <c r="V50" s="11">
        <f t="shared" si="2"/>
        <v>0</v>
      </c>
      <c r="W50" s="1">
        <f t="shared" si="3"/>
        <v>1.9485120363168131E+55</v>
      </c>
      <c r="X50">
        <v>0</v>
      </c>
      <c r="Y50">
        <f t="shared" si="10"/>
        <v>55.289703092853792</v>
      </c>
      <c r="AA50" s="10">
        <f t="shared" si="11"/>
        <v>1.4865687533761385</v>
      </c>
    </row>
    <row r="51" spans="1:27" x14ac:dyDescent="0.25">
      <c r="A51" s="2">
        <v>1</v>
      </c>
      <c r="B51" s="2">
        <v>6.1793560000000003</v>
      </c>
      <c r="C51" s="6">
        <v>3.6395860866734266</v>
      </c>
      <c r="D51" s="2">
        <v>0.159</v>
      </c>
      <c r="E51" s="2">
        <v>3791</v>
      </c>
      <c r="F51" s="2">
        <v>2.105</v>
      </c>
      <c r="G51" s="2">
        <v>-1.6999999999999999E-3</v>
      </c>
      <c r="H51" s="2">
        <v>6.5650000000000004</v>
      </c>
      <c r="I51" s="2">
        <v>-4.4699999999999997E-2</v>
      </c>
      <c r="J51" s="5">
        <v>0</v>
      </c>
      <c r="K51" s="2">
        <v>0</v>
      </c>
      <c r="L51" s="2">
        <v>0.45080000000000003</v>
      </c>
      <c r="M51" s="2">
        <v>0</v>
      </c>
      <c r="N51">
        <f t="shared" si="4"/>
        <v>2.1050000000000001E-3</v>
      </c>
      <c r="O51" s="7">
        <f t="shared" si="0"/>
        <v>1511318.5049920459</v>
      </c>
      <c r="P51" s="7">
        <f t="shared" si="5"/>
        <v>47693584853136.992</v>
      </c>
      <c r="Q51">
        <f t="shared" si="6"/>
        <v>146579570000</v>
      </c>
      <c r="R51">
        <f t="shared" si="7"/>
        <v>0</v>
      </c>
      <c r="S51" s="1">
        <f t="shared" si="8"/>
        <v>1.9890000000000001E+33</v>
      </c>
      <c r="T51" s="1">
        <f t="shared" si="9"/>
        <v>0</v>
      </c>
      <c r="U51" s="8">
        <f t="shared" si="1"/>
        <v>1.3174068014655259E-13</v>
      </c>
      <c r="V51" s="11">
        <f t="shared" si="2"/>
        <v>0</v>
      </c>
      <c r="W51" s="1">
        <f t="shared" si="3"/>
        <v>1.9264847573583769E+55</v>
      </c>
      <c r="X51">
        <v>0</v>
      </c>
      <c r="Y51">
        <f t="shared" si="10"/>
        <v>55.284765577158346</v>
      </c>
      <c r="AA51" s="10">
        <f t="shared" si="11"/>
        <v>1.5113185049920459</v>
      </c>
    </row>
    <row r="52" spans="1:27" x14ac:dyDescent="0.25">
      <c r="A52" s="2">
        <v>1</v>
      </c>
      <c r="B52" s="2">
        <v>6.1937199999999999</v>
      </c>
      <c r="C52" s="6">
        <v>3.6394864892685859</v>
      </c>
      <c r="D52" s="2">
        <v>0.14899999999999999</v>
      </c>
      <c r="E52" s="2">
        <v>3800</v>
      </c>
      <c r="F52" s="2">
        <v>2.0819999999999999</v>
      </c>
      <c r="G52" s="2">
        <v>-2.2000000000000001E-3</v>
      </c>
      <c r="H52" s="2">
        <v>6.57</v>
      </c>
      <c r="I52" s="2">
        <v>-3.0499999999999999E-2</v>
      </c>
      <c r="J52" s="5">
        <v>0</v>
      </c>
      <c r="K52" s="2">
        <v>0</v>
      </c>
      <c r="L52" s="2">
        <v>0.45089999999999997</v>
      </c>
      <c r="M52" s="2">
        <v>0</v>
      </c>
      <c r="N52">
        <f t="shared" si="4"/>
        <v>2.0819999999999996E-3</v>
      </c>
      <c r="O52" s="7">
        <f t="shared" si="0"/>
        <v>1562140.1689181828</v>
      </c>
      <c r="P52" s="7">
        <f t="shared" si="5"/>
        <v>49297394594652.445</v>
      </c>
      <c r="Q52">
        <f t="shared" si="6"/>
        <v>144977987999.99997</v>
      </c>
      <c r="R52">
        <f t="shared" si="7"/>
        <v>0</v>
      </c>
      <c r="S52" s="1">
        <f t="shared" si="8"/>
        <v>1.9890000000000001E+33</v>
      </c>
      <c r="T52" s="1">
        <f t="shared" si="9"/>
        <v>0</v>
      </c>
      <c r="U52" s="8">
        <f t="shared" si="1"/>
        <v>1.2745471355723853E-13</v>
      </c>
      <c r="V52" s="11">
        <f t="shared" si="2"/>
        <v>0</v>
      </c>
      <c r="W52" s="1">
        <f t="shared" si="3"/>
        <v>1.8850338576202713E+55</v>
      </c>
      <c r="X52">
        <v>0</v>
      </c>
      <c r="Y52">
        <f t="shared" si="10"/>
        <v>55.275319155096504</v>
      </c>
      <c r="AA52" s="10">
        <f t="shared" si="11"/>
        <v>1.5621401689181829</v>
      </c>
    </row>
    <row r="53" spans="1:27" x14ac:dyDescent="0.25">
      <c r="A53" s="2">
        <v>1</v>
      </c>
      <c r="B53" s="2">
        <v>6.2009080000000001</v>
      </c>
      <c r="C53" s="6">
        <v>3.639386869017684</v>
      </c>
      <c r="D53" s="2">
        <v>0.14399999999999999</v>
      </c>
      <c r="E53" s="2">
        <v>3805</v>
      </c>
      <c r="F53" s="2">
        <v>2.0710000000000002</v>
      </c>
      <c r="G53" s="2">
        <v>-2.5999999999999999E-3</v>
      </c>
      <c r="H53" s="2">
        <v>6.5720000000000001</v>
      </c>
      <c r="I53" s="2">
        <v>-2.3400000000000001E-2</v>
      </c>
      <c r="J53" s="5">
        <v>0</v>
      </c>
      <c r="K53" s="2">
        <v>0</v>
      </c>
      <c r="L53" s="2">
        <v>0.45089999999999997</v>
      </c>
      <c r="M53" s="2">
        <v>0</v>
      </c>
      <c r="N53">
        <f t="shared" si="4"/>
        <v>2.0710000000000004E-3</v>
      </c>
      <c r="O53" s="7">
        <f t="shared" si="0"/>
        <v>1588210.2699447123</v>
      </c>
      <c r="P53" s="7">
        <f t="shared" si="5"/>
        <v>50120104414807.25</v>
      </c>
      <c r="Q53">
        <f t="shared" si="6"/>
        <v>144212014000</v>
      </c>
      <c r="R53">
        <f t="shared" si="7"/>
        <v>0</v>
      </c>
      <c r="S53" s="1">
        <f t="shared" si="8"/>
        <v>1.9890000000000001E+33</v>
      </c>
      <c r="T53" s="1">
        <f t="shared" si="9"/>
        <v>0</v>
      </c>
      <c r="U53" s="8">
        <f t="shared" si="1"/>
        <v>1.253625741714E-13</v>
      </c>
      <c r="V53" s="11">
        <f t="shared" si="2"/>
        <v>0</v>
      </c>
      <c r="W53" s="1">
        <f t="shared" si="3"/>
        <v>1.8651677711710155E+55</v>
      </c>
      <c r="X53">
        <v>0</v>
      </c>
      <c r="Y53">
        <f t="shared" si="10"/>
        <v>55.270717902534379</v>
      </c>
      <c r="AA53" s="10">
        <f t="shared" si="11"/>
        <v>1.5882102699447123</v>
      </c>
    </row>
    <row r="54" spans="1:27" x14ac:dyDescent="0.25">
      <c r="A54" s="2">
        <v>1</v>
      </c>
      <c r="B54" s="2">
        <v>6.2152940000000001</v>
      </c>
      <c r="C54" s="6">
        <v>3.6392872259102367</v>
      </c>
      <c r="D54" s="2">
        <v>0.13400000000000001</v>
      </c>
      <c r="E54" s="2">
        <v>3815</v>
      </c>
      <c r="F54" s="2">
        <v>2.048</v>
      </c>
      <c r="G54" s="2">
        <v>-3.5000000000000001E-3</v>
      </c>
      <c r="H54" s="2">
        <v>6.577</v>
      </c>
      <c r="I54" s="2">
        <v>-9.1999999999999998E-3</v>
      </c>
      <c r="J54" s="5">
        <v>5.0000000000000001E-4</v>
      </c>
      <c r="K54" s="2">
        <v>87.8</v>
      </c>
      <c r="L54" s="2">
        <v>0.45100000000000001</v>
      </c>
      <c r="M54" s="2">
        <v>5.6320000000000003E-4</v>
      </c>
      <c r="N54">
        <f t="shared" si="4"/>
        <v>2.0479999999999999E-3</v>
      </c>
      <c r="O54" s="7">
        <f t="shared" si="0"/>
        <v>1641700.7628862255</v>
      </c>
      <c r="P54" s="7">
        <f t="shared" si="5"/>
        <v>51808135994858.352</v>
      </c>
      <c r="Q54">
        <f t="shared" si="6"/>
        <v>142610432000</v>
      </c>
      <c r="R54">
        <f t="shared" si="7"/>
        <v>6113865200000</v>
      </c>
      <c r="S54" s="1">
        <f t="shared" si="8"/>
        <v>1.9890000000000001E+33</v>
      </c>
      <c r="T54" s="1">
        <f t="shared" si="9"/>
        <v>9.9450000000000009E+29</v>
      </c>
      <c r="U54" s="8">
        <f t="shared" si="1"/>
        <v>1.2127796506330887E-13</v>
      </c>
      <c r="V54" s="11">
        <f t="shared" si="2"/>
        <v>2.2782428721246382E+52</v>
      </c>
      <c r="W54" s="1">
        <f t="shared" si="3"/>
        <v>1.8243741749435576E+55</v>
      </c>
      <c r="X54">
        <f t="shared" ref="X54:X66" si="12">LOG(V54)</f>
        <v>52.357600020182545</v>
      </c>
      <c r="Y54">
        <f t="shared" si="10"/>
        <v>55.261113915926451</v>
      </c>
      <c r="AA54" s="10">
        <f t="shared" si="11"/>
        <v>1.6417007628862255</v>
      </c>
    </row>
    <row r="55" spans="1:27" x14ac:dyDescent="0.25">
      <c r="A55" s="2">
        <v>1</v>
      </c>
      <c r="B55" s="2">
        <v>6.2224930000000001</v>
      </c>
      <c r="C55" s="6">
        <v>3.6391875599357539</v>
      </c>
      <c r="D55" s="2">
        <v>0.128</v>
      </c>
      <c r="E55" s="2">
        <v>3820</v>
      </c>
      <c r="F55" s="2">
        <v>2.0369999999999999</v>
      </c>
      <c r="G55" s="2">
        <v>-3.8999999999999998E-3</v>
      </c>
      <c r="H55" s="2">
        <v>6.58</v>
      </c>
      <c r="I55" s="2">
        <v>-2.0999999999999999E-3</v>
      </c>
      <c r="J55" s="5">
        <v>1.6000000000000001E-3</v>
      </c>
      <c r="K55" s="2">
        <v>131</v>
      </c>
      <c r="L55" s="2">
        <v>0.45100000000000001</v>
      </c>
      <c r="M55" s="2">
        <v>1.5989999999999999E-3</v>
      </c>
      <c r="N55">
        <f t="shared" si="4"/>
        <v>2.0369999999999997E-3</v>
      </c>
      <c r="O55" s="7">
        <f t="shared" si="0"/>
        <v>1669140.9036215029</v>
      </c>
      <c r="P55" s="7">
        <f t="shared" si="5"/>
        <v>52674080980125.938</v>
      </c>
      <c r="Q55">
        <f t="shared" si="6"/>
        <v>141844458000</v>
      </c>
      <c r="R55">
        <f t="shared" si="7"/>
        <v>9122054000000</v>
      </c>
      <c r="S55" s="1">
        <f t="shared" si="8"/>
        <v>1.9890000000000001E+33</v>
      </c>
      <c r="T55" s="1">
        <f t="shared" si="9"/>
        <v>3.1824E+30</v>
      </c>
      <c r="U55" s="8">
        <f t="shared" si="1"/>
        <v>1.1928419424252029E-13</v>
      </c>
      <c r="V55" s="11">
        <f t="shared" si="2"/>
        <v>6.3989393102156815E+52</v>
      </c>
      <c r="W55" s="1">
        <f t="shared" si="3"/>
        <v>1.8048290362146797E+55</v>
      </c>
      <c r="X55">
        <f t="shared" si="12"/>
        <v>52.806107991187467</v>
      </c>
      <c r="Y55">
        <f t="shared" si="10"/>
        <v>55.256436069319193</v>
      </c>
      <c r="AA55" s="10">
        <f t="shared" si="11"/>
        <v>1.669140903621503</v>
      </c>
    </row>
    <row r="56" spans="1:27" x14ac:dyDescent="0.25">
      <c r="A56" s="2">
        <v>1</v>
      </c>
      <c r="B56" s="2">
        <v>6.2296950000000004</v>
      </c>
      <c r="C56" s="6">
        <v>3.6390878710837375</v>
      </c>
      <c r="D56" s="2">
        <v>0.123</v>
      </c>
      <c r="E56" s="2">
        <v>3824</v>
      </c>
      <c r="F56" s="2">
        <v>2.0259999999999998</v>
      </c>
      <c r="G56" s="2">
        <v>-4.4000000000000003E-3</v>
      </c>
      <c r="H56" s="2">
        <v>6.5819999999999999</v>
      </c>
      <c r="I56" s="2">
        <v>5.1000000000000004E-3</v>
      </c>
      <c r="J56" s="5">
        <v>2.8E-3</v>
      </c>
      <c r="K56" s="2">
        <v>158.6</v>
      </c>
      <c r="L56" s="2">
        <v>0.45100000000000001</v>
      </c>
      <c r="M56" s="2">
        <v>2.6210000000000001E-3</v>
      </c>
      <c r="N56">
        <f t="shared" si="4"/>
        <v>2.0259999999999996E-3</v>
      </c>
      <c r="O56" s="7">
        <f t="shared" si="0"/>
        <v>1697051.4142501948</v>
      </c>
      <c r="P56" s="7">
        <f t="shared" si="5"/>
        <v>53554869710341.945</v>
      </c>
      <c r="Q56">
        <f t="shared" si="6"/>
        <v>141078483999.99997</v>
      </c>
      <c r="R56">
        <f t="shared" si="7"/>
        <v>11043952400000</v>
      </c>
      <c r="S56" s="1">
        <f t="shared" si="8"/>
        <v>1.9890000000000001E+33</v>
      </c>
      <c r="T56" s="1">
        <f t="shared" si="9"/>
        <v>5.5691999999999995E+30</v>
      </c>
      <c r="U56" s="8">
        <f t="shared" si="1"/>
        <v>1.1732238993695553E-13</v>
      </c>
      <c r="V56" s="11">
        <f t="shared" si="2"/>
        <v>1.0375842540109097E+53</v>
      </c>
      <c r="W56" s="1">
        <f t="shared" si="3"/>
        <v>1.7853891589428471E+55</v>
      </c>
      <c r="X56">
        <f t="shared" si="12"/>
        <v>53.016023372436024</v>
      </c>
      <c r="Y56">
        <f t="shared" si="10"/>
        <v>55.251732893367382</v>
      </c>
      <c r="AA56" s="10">
        <f t="shared" si="11"/>
        <v>1.6970514142501949</v>
      </c>
    </row>
    <row r="57" spans="1:27" x14ac:dyDescent="0.25">
      <c r="A57" s="2">
        <v>1</v>
      </c>
      <c r="B57" s="2">
        <v>6.2441060000000004</v>
      </c>
      <c r="C57" s="6">
        <v>3.6389881593436821</v>
      </c>
      <c r="D57" s="2">
        <v>0.113</v>
      </c>
      <c r="E57" s="2">
        <v>3834</v>
      </c>
      <c r="F57" s="2">
        <v>2.004</v>
      </c>
      <c r="G57" s="2">
        <v>-5.7000000000000002E-3</v>
      </c>
      <c r="H57" s="2">
        <v>6.5860000000000003</v>
      </c>
      <c r="I57" s="2">
        <v>1.9400000000000001E-2</v>
      </c>
      <c r="J57" s="2">
        <v>6.7000000000000002E-3</v>
      </c>
      <c r="K57" s="2">
        <v>209.3</v>
      </c>
      <c r="L57" s="2">
        <v>0.4511</v>
      </c>
      <c r="M57" s="2">
        <v>5.3479999999999995E-3</v>
      </c>
      <c r="N57">
        <f t="shared" si="4"/>
        <v>2.0040000000000001E-3</v>
      </c>
      <c r="O57" s="7">
        <f t="shared" si="0"/>
        <v>1754308.6307516447</v>
      </c>
      <c r="P57" s="7">
        <f t="shared" si="5"/>
        <v>55361770045808.102</v>
      </c>
      <c r="Q57">
        <f t="shared" si="6"/>
        <v>139546536000</v>
      </c>
      <c r="R57">
        <f t="shared" si="7"/>
        <v>14574396200000.002</v>
      </c>
      <c r="S57" s="1">
        <f t="shared" si="8"/>
        <v>1.9890000000000001E+33</v>
      </c>
      <c r="T57" s="1">
        <f t="shared" si="9"/>
        <v>1.3326300000000001E+31</v>
      </c>
      <c r="U57" s="8">
        <f t="shared" si="1"/>
        <v>1.134932156609277E-13</v>
      </c>
      <c r="V57" s="11">
        <f t="shared" si="2"/>
        <v>2.0714015763954972E+53</v>
      </c>
      <c r="W57" s="1">
        <f t="shared" si="3"/>
        <v>1.7472125114285883E+55</v>
      </c>
      <c r="X57">
        <f t="shared" si="12"/>
        <v>53.316264302421267</v>
      </c>
      <c r="Y57">
        <f t="shared" si="10"/>
        <v>55.242345730929031</v>
      </c>
      <c r="AA57" s="10">
        <f t="shared" si="11"/>
        <v>1.7543086307516447</v>
      </c>
    </row>
    <row r="58" spans="1:27" x14ac:dyDescent="0.25">
      <c r="A58" s="2">
        <v>1</v>
      </c>
      <c r="B58" s="2">
        <v>6.2513170000000002</v>
      </c>
      <c r="C58" s="6">
        <v>3.6388884247050757</v>
      </c>
      <c r="D58" s="2">
        <v>0.108</v>
      </c>
      <c r="E58" s="2">
        <v>3839</v>
      </c>
      <c r="F58" s="2">
        <v>1.9930000000000001</v>
      </c>
      <c r="G58" s="2">
        <v>-6.1000000000000004E-3</v>
      </c>
      <c r="H58" s="2">
        <v>6.5890000000000004</v>
      </c>
      <c r="I58" s="2">
        <v>2.6599999999999999E-2</v>
      </c>
      <c r="J58" s="2">
        <v>8.2000000000000007E-3</v>
      </c>
      <c r="K58" s="2">
        <v>223.2</v>
      </c>
      <c r="L58" s="2">
        <v>0.4511</v>
      </c>
      <c r="M58" s="2">
        <v>6.3659999999999993E-3</v>
      </c>
      <c r="N58">
        <f t="shared" si="4"/>
        <v>1.993E-3</v>
      </c>
      <c r="O58" s="7">
        <f t="shared" si="0"/>
        <v>1783680.2353469518</v>
      </c>
      <c r="P58" s="7">
        <f t="shared" si="5"/>
        <v>56288667394984.961</v>
      </c>
      <c r="Q58">
        <f t="shared" si="6"/>
        <v>138780562000</v>
      </c>
      <c r="R58">
        <f t="shared" si="7"/>
        <v>15542308799999.998</v>
      </c>
      <c r="S58" s="1">
        <f t="shared" si="8"/>
        <v>1.9890000000000001E+33</v>
      </c>
      <c r="T58" s="1">
        <f t="shared" si="9"/>
        <v>1.6309800000000002E+31</v>
      </c>
      <c r="U58" s="8">
        <f t="shared" si="1"/>
        <v>1.1162433928466721E-13</v>
      </c>
      <c r="V58" s="11">
        <f t="shared" si="2"/>
        <v>2.438701812928177E+53</v>
      </c>
      <c r="W58" s="1">
        <f t="shared" si="3"/>
        <v>1.7280841781525303E+55</v>
      </c>
      <c r="X58">
        <f t="shared" si="12"/>
        <v>53.387158701126864</v>
      </c>
      <c r="Y58">
        <f t="shared" si="10"/>
        <v>55.237564893939584</v>
      </c>
      <c r="AA58" s="10">
        <f t="shared" si="11"/>
        <v>1.7836802353469519</v>
      </c>
    </row>
    <row r="59" spans="1:27" x14ac:dyDescent="0.25">
      <c r="A59" s="2">
        <v>1</v>
      </c>
      <c r="B59" s="2">
        <v>6.2657439999999998</v>
      </c>
      <c r="C59" s="6">
        <v>3.6387886671573981</v>
      </c>
      <c r="D59" s="2">
        <v>9.8000000000000004E-2</v>
      </c>
      <c r="E59" s="2">
        <v>3848</v>
      </c>
      <c r="F59" s="2">
        <v>1.9710000000000001</v>
      </c>
      <c r="G59" s="2">
        <v>-7.4000000000000003E-3</v>
      </c>
      <c r="H59" s="2">
        <v>6.593</v>
      </c>
      <c r="I59" s="2">
        <v>4.1099999999999998E-2</v>
      </c>
      <c r="J59" s="2">
        <v>1.12E-2</v>
      </c>
      <c r="K59" s="2">
        <v>245.8</v>
      </c>
      <c r="L59" s="2">
        <v>0.4511</v>
      </c>
      <c r="M59" s="2">
        <v>8.3020000000000004E-3</v>
      </c>
      <c r="N59">
        <f t="shared" si="4"/>
        <v>1.9710000000000001E-3</v>
      </c>
      <c r="O59" s="7">
        <f t="shared" si="0"/>
        <v>1843928.1735756826</v>
      </c>
      <c r="P59" s="7">
        <f t="shared" si="5"/>
        <v>58189947730431.961</v>
      </c>
      <c r="Q59">
        <f t="shared" si="6"/>
        <v>137248614000</v>
      </c>
      <c r="R59">
        <f t="shared" si="7"/>
        <v>17116037200000</v>
      </c>
      <c r="S59" s="1">
        <f t="shared" si="8"/>
        <v>1.9890000000000001E+33</v>
      </c>
      <c r="T59" s="1">
        <f t="shared" si="9"/>
        <v>2.2276799999999998E+31</v>
      </c>
      <c r="U59" s="8">
        <f t="shared" si="1"/>
        <v>1.0797716018386505E-13</v>
      </c>
      <c r="V59" s="11">
        <f t="shared" si="2"/>
        <v>3.11052321535162E+53</v>
      </c>
      <c r="W59" s="1">
        <f t="shared" si="3"/>
        <v>1.6901433659902621E+55</v>
      </c>
      <c r="X59">
        <f t="shared" si="12"/>
        <v>53.492833447042287</v>
      </c>
      <c r="Y59">
        <f t="shared" si="10"/>
        <v>55.227923545097497</v>
      </c>
      <c r="AA59" s="10">
        <f t="shared" si="11"/>
        <v>1.8439281735756825</v>
      </c>
    </row>
    <row r="60" spans="1:27" x14ac:dyDescent="0.25">
      <c r="A60" s="2">
        <v>1</v>
      </c>
      <c r="B60" s="2">
        <v>6.272964</v>
      </c>
      <c r="C60" s="6">
        <v>3.6386888866901237</v>
      </c>
      <c r="D60" s="2">
        <v>9.2999999999999999E-2</v>
      </c>
      <c r="E60" s="2">
        <v>3853</v>
      </c>
      <c r="F60" s="2">
        <v>1.96</v>
      </c>
      <c r="G60" s="2">
        <v>-8.3000000000000001E-3</v>
      </c>
      <c r="H60" s="2">
        <v>6.5949999999999998</v>
      </c>
      <c r="I60" s="2">
        <v>4.8399999999999999E-2</v>
      </c>
      <c r="J60" s="2">
        <v>1.43E-2</v>
      </c>
      <c r="K60" s="2">
        <v>265.2</v>
      </c>
      <c r="L60" s="2">
        <v>0.4511</v>
      </c>
      <c r="M60" s="2">
        <v>1.0160000000000001E-2</v>
      </c>
      <c r="N60">
        <f t="shared" si="4"/>
        <v>1.9599999999999999E-3</v>
      </c>
      <c r="O60" s="7">
        <f t="shared" si="0"/>
        <v>1874839.0904704975</v>
      </c>
      <c r="P60" s="7">
        <f t="shared" si="5"/>
        <v>59165422081431.773</v>
      </c>
      <c r="Q60">
        <f t="shared" si="6"/>
        <v>136482640000</v>
      </c>
      <c r="R60">
        <f t="shared" si="7"/>
        <v>18466936800000</v>
      </c>
      <c r="S60" s="1">
        <f t="shared" si="8"/>
        <v>1.9890000000000001E+33</v>
      </c>
      <c r="T60" s="1">
        <f t="shared" si="9"/>
        <v>2.84427E+31</v>
      </c>
      <c r="U60" s="8">
        <f t="shared" si="1"/>
        <v>1.0619691512606439E-13</v>
      </c>
      <c r="V60" s="11">
        <f t="shared" si="2"/>
        <v>3.7642921332248204E+53</v>
      </c>
      <c r="W60" s="1">
        <f t="shared" si="3"/>
        <v>1.6713308871040519E+55</v>
      </c>
      <c r="X60">
        <f t="shared" si="12"/>
        <v>53.575683320101753</v>
      </c>
      <c r="Y60">
        <f t="shared" si="10"/>
        <v>55.223062439251564</v>
      </c>
      <c r="AA60" s="10">
        <f t="shared" si="11"/>
        <v>1.8748390904704975</v>
      </c>
    </row>
    <row r="61" spans="1:27" x14ac:dyDescent="0.25">
      <c r="A61" s="2">
        <v>1</v>
      </c>
      <c r="B61" s="2">
        <v>6.2801819999999999</v>
      </c>
      <c r="C61" s="6">
        <v>3.6386888866901237</v>
      </c>
      <c r="D61" s="2">
        <v>8.7999999999999995E-2</v>
      </c>
      <c r="E61" s="2">
        <v>3858</v>
      </c>
      <c r="F61" s="2">
        <v>1.9490000000000001</v>
      </c>
      <c r="G61" s="2">
        <v>-9.1999999999999998E-3</v>
      </c>
      <c r="H61" s="2">
        <v>6.5970000000000004</v>
      </c>
      <c r="I61" s="2">
        <v>5.57E-2</v>
      </c>
      <c r="J61" s="2">
        <v>1.7299999999999999E-2</v>
      </c>
      <c r="K61" s="2">
        <v>281.7</v>
      </c>
      <c r="L61" s="2">
        <v>0.4511</v>
      </c>
      <c r="M61" s="2">
        <v>1.1939999999999999E-2</v>
      </c>
      <c r="N61">
        <f t="shared" si="4"/>
        <v>1.949E-3</v>
      </c>
      <c r="O61" s="7">
        <f t="shared" si="0"/>
        <v>1906259.4076560929</v>
      </c>
      <c r="P61" s="7">
        <f t="shared" si="5"/>
        <v>60156971883047.914</v>
      </c>
      <c r="Q61">
        <f t="shared" si="6"/>
        <v>135716666000</v>
      </c>
      <c r="R61">
        <f t="shared" si="7"/>
        <v>19615897800000</v>
      </c>
      <c r="S61" s="1">
        <f t="shared" si="8"/>
        <v>1.9890000000000001E+33</v>
      </c>
      <c r="T61" s="1">
        <f t="shared" si="9"/>
        <v>3.4409700000000001E+31</v>
      </c>
      <c r="U61" s="8">
        <f t="shared" si="1"/>
        <v>1.0444650238371078E-13</v>
      </c>
      <c r="V61" s="11">
        <f t="shared" si="2"/>
        <v>4.3742688748819808E+53</v>
      </c>
      <c r="W61" s="1">
        <f t="shared" si="3"/>
        <v>1.6526236930144569E+55</v>
      </c>
      <c r="X61">
        <f t="shared" si="12"/>
        <v>53.640905474469498</v>
      </c>
      <c r="Y61">
        <f t="shared" si="10"/>
        <v>55.218173974773855</v>
      </c>
      <c r="AA61" s="10">
        <f t="shared" si="11"/>
        <v>1.9062594076560928</v>
      </c>
    </row>
    <row r="62" spans="1:27" x14ac:dyDescent="0.25">
      <c r="A62" s="2">
        <v>1</v>
      </c>
      <c r="B62" s="2">
        <v>6.294632</v>
      </c>
      <c r="C62" s="6">
        <v>3.6384892569546374</v>
      </c>
      <c r="D62" s="2">
        <v>7.8E-2</v>
      </c>
      <c r="E62" s="2">
        <v>3867</v>
      </c>
      <c r="F62" s="2">
        <v>1.9279999999999999</v>
      </c>
      <c r="G62" s="2">
        <v>-1.0999999999999999E-2</v>
      </c>
      <c r="H62" s="2">
        <v>6.6020000000000003</v>
      </c>
      <c r="I62" s="2">
        <v>7.0300000000000001E-2</v>
      </c>
      <c r="J62" s="2">
        <v>2.3300000000000001E-2</v>
      </c>
      <c r="K62" s="2">
        <v>308.8</v>
      </c>
      <c r="L62" s="2">
        <v>0.45100000000000001</v>
      </c>
      <c r="M62" s="2">
        <v>1.537E-2</v>
      </c>
      <c r="N62">
        <f t="shared" si="4"/>
        <v>1.928E-3</v>
      </c>
      <c r="O62" s="7">
        <f t="shared" si="0"/>
        <v>1970752.1090212001</v>
      </c>
      <c r="P62" s="7">
        <f t="shared" si="5"/>
        <v>62192206755647.422</v>
      </c>
      <c r="Q62">
        <f t="shared" si="6"/>
        <v>134254351999.99998</v>
      </c>
      <c r="R62">
        <f t="shared" si="7"/>
        <v>21502979200000</v>
      </c>
      <c r="S62" s="1">
        <f t="shared" si="8"/>
        <v>1.9890000000000001E+33</v>
      </c>
      <c r="T62" s="1">
        <f t="shared" si="9"/>
        <v>4.6343700000000003E+31</v>
      </c>
      <c r="U62" s="8">
        <f t="shared" si="1"/>
        <v>1.0102849914726713E-13</v>
      </c>
      <c r="V62" s="11">
        <f t="shared" si="2"/>
        <v>5.5101750515069161E+53</v>
      </c>
      <c r="W62" s="1">
        <f t="shared" si="3"/>
        <v>1.6168438179763298E+55</v>
      </c>
      <c r="X62">
        <f t="shared" si="12"/>
        <v>53.741165396074273</v>
      </c>
      <c r="Y62">
        <f t="shared" si="10"/>
        <v>55.208668070452489</v>
      </c>
      <c r="AA62" s="10">
        <f t="shared" si="11"/>
        <v>1.9707521090212001</v>
      </c>
    </row>
    <row r="63" spans="1:27" x14ac:dyDescent="0.25">
      <c r="A63" s="2">
        <v>1</v>
      </c>
      <c r="B63" s="2">
        <v>6.3018590000000003</v>
      </c>
      <c r="C63" s="6">
        <v>3.6384892569546374</v>
      </c>
      <c r="D63" s="2">
        <v>7.2999999999999995E-2</v>
      </c>
      <c r="E63" s="2">
        <v>3872</v>
      </c>
      <c r="F63" s="2">
        <v>1.917</v>
      </c>
      <c r="G63" s="2">
        <v>-1.1900000000000001E-2</v>
      </c>
      <c r="H63" s="2">
        <v>6.6040000000000001</v>
      </c>
      <c r="I63" s="2">
        <v>7.7700000000000005E-2</v>
      </c>
      <c r="J63" s="2">
        <v>2.6700000000000002E-2</v>
      </c>
      <c r="K63" s="2">
        <v>321.60000000000002</v>
      </c>
      <c r="L63" s="2">
        <v>0.45100000000000001</v>
      </c>
      <c r="M63" s="2">
        <v>1.72E-2</v>
      </c>
      <c r="N63">
        <f t="shared" si="4"/>
        <v>1.9170000000000001E-3</v>
      </c>
      <c r="O63" s="7">
        <f t="shared" si="0"/>
        <v>2003821.3520917152</v>
      </c>
      <c r="P63" s="7">
        <f t="shared" si="5"/>
        <v>63235792700769.516</v>
      </c>
      <c r="Q63">
        <f t="shared" si="6"/>
        <v>133488378000</v>
      </c>
      <c r="R63">
        <f t="shared" si="7"/>
        <v>22394294400000.004</v>
      </c>
      <c r="S63" s="1">
        <f t="shared" si="8"/>
        <v>1.9890000000000001E+33</v>
      </c>
      <c r="T63" s="1">
        <f t="shared" si="9"/>
        <v>5.3106300000000008E+31</v>
      </c>
      <c r="U63" s="8">
        <f t="shared" si="1"/>
        <v>9.9361216786061195E-14</v>
      </c>
      <c r="V63" s="11">
        <f t="shared" si="2"/>
        <v>6.0960727627688381E+53</v>
      </c>
      <c r="W63" s="1">
        <f t="shared" si="3"/>
        <v>1.5984469860515965E+55</v>
      </c>
      <c r="X63">
        <f t="shared" si="12"/>
        <v>53.785050142104573</v>
      </c>
      <c r="Y63">
        <f t="shared" si="10"/>
        <v>55.203698237074988</v>
      </c>
      <c r="AA63" s="10">
        <f t="shared" si="11"/>
        <v>2.0038213520917152</v>
      </c>
    </row>
    <row r="64" spans="1:27" x14ac:dyDescent="0.25">
      <c r="A64" s="2">
        <v>1</v>
      </c>
      <c r="B64" s="2">
        <v>6.3090909999999996</v>
      </c>
      <c r="C64" s="6">
        <v>3.6383894076653358</v>
      </c>
      <c r="D64" s="2">
        <v>6.8000000000000005E-2</v>
      </c>
      <c r="E64" s="2">
        <v>3877</v>
      </c>
      <c r="F64" s="2">
        <v>1.907</v>
      </c>
      <c r="G64" s="2">
        <v>-1.2800000000000001E-2</v>
      </c>
      <c r="H64" s="2">
        <v>6.6059999999999999</v>
      </c>
      <c r="I64" s="2">
        <v>8.5099999999999995E-2</v>
      </c>
      <c r="J64" s="2">
        <v>0.03</v>
      </c>
      <c r="K64" s="2">
        <v>333.2</v>
      </c>
      <c r="L64" s="2">
        <v>0.45089999999999997</v>
      </c>
      <c r="M64" s="2">
        <v>1.9E-2</v>
      </c>
      <c r="N64">
        <f t="shared" si="4"/>
        <v>1.9070000000000001E-3</v>
      </c>
      <c r="O64" s="7">
        <f t="shared" si="0"/>
        <v>2037468.9545347232</v>
      </c>
      <c r="P64" s="7">
        <f t="shared" si="5"/>
        <v>64297630279624.984</v>
      </c>
      <c r="Q64">
        <f t="shared" si="6"/>
        <v>132792038000</v>
      </c>
      <c r="R64">
        <f t="shared" si="7"/>
        <v>23202048799999.996</v>
      </c>
      <c r="S64" s="1">
        <f t="shared" si="8"/>
        <v>1.9890000000000001E+33</v>
      </c>
      <c r="T64" s="1">
        <f t="shared" si="9"/>
        <v>5.9669999999999999E+31</v>
      </c>
      <c r="U64" s="8">
        <f t="shared" si="1"/>
        <v>9.7720324681555795E-14</v>
      </c>
      <c r="V64" s="11">
        <f t="shared" si="2"/>
        <v>6.6639611493590641E+53</v>
      </c>
      <c r="W64" s="1">
        <f t="shared" si="3"/>
        <v>1.5814632011821062E+55</v>
      </c>
      <c r="X64">
        <f t="shared" si="12"/>
        <v>53.823732456485743</v>
      </c>
      <c r="Y64">
        <f t="shared" si="10"/>
        <v>55.199059090839484</v>
      </c>
      <c r="AA64" s="10">
        <f t="shared" si="11"/>
        <v>2.0374689545347233</v>
      </c>
    </row>
    <row r="65" spans="1:27" x14ac:dyDescent="0.25">
      <c r="A65" s="2">
        <v>1</v>
      </c>
      <c r="B65" s="2">
        <v>6.3222610000000001</v>
      </c>
      <c r="C65" s="6">
        <v>3.6382895354142568</v>
      </c>
      <c r="D65" s="2">
        <v>5.8999999999999997E-2</v>
      </c>
      <c r="E65" s="2">
        <v>3886</v>
      </c>
      <c r="F65" s="2">
        <v>1.8879999999999999</v>
      </c>
      <c r="G65" s="2">
        <v>-1.4999999999999999E-2</v>
      </c>
      <c r="H65" s="2">
        <v>6.61</v>
      </c>
      <c r="I65" s="2">
        <v>9.8599999999999993E-2</v>
      </c>
      <c r="J65" s="2">
        <v>3.6700000000000003E-2</v>
      </c>
      <c r="K65" s="2">
        <v>353.8</v>
      </c>
      <c r="L65" s="2">
        <v>0.45080000000000003</v>
      </c>
      <c r="M65" s="2">
        <v>2.2510000000000002E-2</v>
      </c>
      <c r="N65">
        <f t="shared" si="4"/>
        <v>1.8879999999999999E-3</v>
      </c>
      <c r="O65" s="7">
        <f t="shared" si="0"/>
        <v>2100201.672523499</v>
      </c>
      <c r="P65" s="7">
        <f t="shared" si="5"/>
        <v>66277324300827.57</v>
      </c>
      <c r="Q65">
        <f t="shared" si="6"/>
        <v>131468992000</v>
      </c>
      <c r="R65">
        <f t="shared" si="7"/>
        <v>24636509200000</v>
      </c>
      <c r="S65" s="1">
        <f t="shared" si="8"/>
        <v>1.9890000000000001E+33</v>
      </c>
      <c r="T65" s="1">
        <f t="shared" si="9"/>
        <v>7.2996300000000014E+31</v>
      </c>
      <c r="U65" s="8">
        <f t="shared" si="1"/>
        <v>9.4801432819778628E-14</v>
      </c>
      <c r="V65" s="11">
        <f t="shared" si="2"/>
        <v>7.7385028052919827E+53</v>
      </c>
      <c r="W65" s="1">
        <f t="shared" si="3"/>
        <v>1.5497632450580302E+55</v>
      </c>
      <c r="X65">
        <f t="shared" si="12"/>
        <v>53.888656944365522</v>
      </c>
      <c r="Y65">
        <f t="shared" si="10"/>
        <v>55.190265356739069</v>
      </c>
      <c r="AA65" s="10">
        <f t="shared" si="11"/>
        <v>2.1002016725234989</v>
      </c>
    </row>
    <row r="66" spans="1:27" x14ac:dyDescent="0.25">
      <c r="A66" s="2">
        <v>1</v>
      </c>
      <c r="B66" s="2">
        <v>6.3292780000000004</v>
      </c>
      <c r="C66" s="6">
        <v>3.6381896401908369</v>
      </c>
      <c r="D66" s="2">
        <v>5.3999999999999999E-2</v>
      </c>
      <c r="E66" s="2">
        <v>3890</v>
      </c>
      <c r="F66" s="2">
        <v>1.8779999999999999</v>
      </c>
      <c r="G66" s="2">
        <v>-1.5900000000000001E-2</v>
      </c>
      <c r="H66" s="2">
        <v>6.6120000000000001</v>
      </c>
      <c r="I66" s="2">
        <v>0.10580000000000001</v>
      </c>
      <c r="J66" s="2">
        <v>3.6700000000000003E-2</v>
      </c>
      <c r="K66" s="2">
        <v>351.9</v>
      </c>
      <c r="L66" s="2">
        <v>0.45080000000000003</v>
      </c>
      <c r="M66" s="2">
        <v>2.2499999999999999E-2</v>
      </c>
      <c r="N66">
        <f t="shared" si="4"/>
        <v>1.8779999999999999E-3</v>
      </c>
      <c r="O66" s="7">
        <f t="shared" ref="O66:O129" si="13">10^B66</f>
        <v>2134410.7520921146</v>
      </c>
      <c r="P66" s="7">
        <f t="shared" si="5"/>
        <v>67356880750222.117</v>
      </c>
      <c r="Q66">
        <f t="shared" si="6"/>
        <v>130772652000</v>
      </c>
      <c r="R66">
        <f t="shared" si="7"/>
        <v>24504204600000</v>
      </c>
      <c r="S66" s="1">
        <f t="shared" si="8"/>
        <v>1.9890000000000001E+33</v>
      </c>
      <c r="T66" s="1">
        <f t="shared" si="9"/>
        <v>7.2996300000000014E+31</v>
      </c>
      <c r="U66" s="8">
        <f t="shared" ref="U66:U129" si="14">(2*PI())/P66</f>
        <v>9.3282011239198699E-14</v>
      </c>
      <c r="V66" s="11">
        <f t="shared" ref="V66:V129" si="15">M66*S66*(Q66^2)</f>
        <v>7.6533427508858914E+53</v>
      </c>
      <c r="W66" s="1">
        <f t="shared" ref="W66:W129" si="16">L66*S66*(Q66^2)</f>
        <v>1.533389738710827E+55</v>
      </c>
      <c r="X66">
        <f t="shared" si="12"/>
        <v>53.883851163412452</v>
      </c>
      <c r="Y66">
        <f t="shared" si="10"/>
        <v>55.185652552675158</v>
      </c>
      <c r="AA66" s="10">
        <f t="shared" si="11"/>
        <v>2.1344107520921147</v>
      </c>
    </row>
    <row r="67" spans="1:27" x14ac:dyDescent="0.25">
      <c r="A67" s="2">
        <v>1</v>
      </c>
      <c r="B67" s="2">
        <v>6.3418580000000002</v>
      </c>
      <c r="C67" s="6">
        <v>3.6380897219845059</v>
      </c>
      <c r="D67" s="2">
        <v>4.4999999999999998E-2</v>
      </c>
      <c r="E67" s="2">
        <v>3898</v>
      </c>
      <c r="F67" s="2">
        <v>1.86</v>
      </c>
      <c r="G67" s="2">
        <v>-1.8200000000000001E-2</v>
      </c>
      <c r="H67" s="2">
        <v>6.6150000000000002</v>
      </c>
      <c r="I67" s="2">
        <v>0.1188</v>
      </c>
      <c r="J67" s="2">
        <v>4.3400000000000001E-2</v>
      </c>
      <c r="K67" s="2">
        <v>369.5</v>
      </c>
      <c r="L67" s="2">
        <v>0.45069999999999999</v>
      </c>
      <c r="M67" s="2">
        <v>2.5920000000000002E-2</v>
      </c>
      <c r="N67">
        <f t="shared" ref="N67:N130" si="17">F67/(10^3)</f>
        <v>1.8600000000000001E-3</v>
      </c>
      <c r="O67" s="7">
        <f t="shared" si="13"/>
        <v>2197141.3624239517</v>
      </c>
      <c r="P67" s="7">
        <f t="shared" ref="P67:P130" si="18">O67*31557600</f>
        <v>69336508258830.102</v>
      </c>
      <c r="Q67">
        <f t="shared" ref="Q67:Q130" si="19">F67*6.9634*(10^10)</f>
        <v>129519240000</v>
      </c>
      <c r="R67">
        <f t="shared" ref="R67:R130" si="20">K67*6.9634*(10^10)</f>
        <v>25729763000000</v>
      </c>
      <c r="S67" s="1">
        <f t="shared" ref="S67:S130" si="21">A67*1.989*(10^33)</f>
        <v>1.9890000000000001E+33</v>
      </c>
      <c r="T67" s="1">
        <f t="shared" ref="T67:T130" si="22">J67*1.989*(10^33)</f>
        <v>8.6322600000000002E+31</v>
      </c>
      <c r="U67" s="8">
        <f t="shared" si="14"/>
        <v>9.061871537754303E-14</v>
      </c>
      <c r="V67" s="11">
        <f t="shared" si="15"/>
        <v>8.6484515162028268E+53</v>
      </c>
      <c r="W67" s="1">
        <f t="shared" si="16"/>
        <v>1.5038028928829527E+55</v>
      </c>
      <c r="X67">
        <f t="shared" ref="X67:X130" si="23">LOG(V67)</f>
        <v>53.936938355075291</v>
      </c>
      <c r="Y67">
        <f t="shared" ref="Y67:Y130" si="24">LOG(W67)</f>
        <v>55.177190915947712</v>
      </c>
      <c r="AA67" s="10">
        <f t="shared" ref="AA67:AA130" si="25">O67/(1*1000000)</f>
        <v>2.1971413624239515</v>
      </c>
    </row>
    <row r="68" spans="1:27" x14ac:dyDescent="0.25">
      <c r="A68" s="2">
        <v>1</v>
      </c>
      <c r="B68" s="2">
        <v>6.3520709999999996</v>
      </c>
      <c r="C68" s="6">
        <v>3.6378898165807905</v>
      </c>
      <c r="D68" s="2">
        <v>3.7999999999999999E-2</v>
      </c>
      <c r="E68" s="2">
        <v>3905</v>
      </c>
      <c r="F68" s="2">
        <v>1.8460000000000001</v>
      </c>
      <c r="G68" s="2">
        <v>-0.02</v>
      </c>
      <c r="H68" s="2">
        <v>6.6180000000000003</v>
      </c>
      <c r="I68" s="2">
        <v>0.12939999999999999</v>
      </c>
      <c r="J68" s="2">
        <v>5.0700000000000002E-2</v>
      </c>
      <c r="K68" s="2">
        <v>387.5</v>
      </c>
      <c r="L68" s="2">
        <v>0.45050000000000001</v>
      </c>
      <c r="M68" s="2">
        <v>2.9600000000000001E-2</v>
      </c>
      <c r="N68">
        <f t="shared" si="17"/>
        <v>1.846E-3</v>
      </c>
      <c r="O68" s="7">
        <f t="shared" si="13"/>
        <v>2249422.3193047331</v>
      </c>
      <c r="P68" s="7">
        <f t="shared" si="18"/>
        <v>70986369783691.047</v>
      </c>
      <c r="Q68">
        <f t="shared" si="19"/>
        <v>128544364000.00002</v>
      </c>
      <c r="R68">
        <f t="shared" si="20"/>
        <v>26983175000000</v>
      </c>
      <c r="S68" s="1">
        <f t="shared" si="21"/>
        <v>1.9890000000000001E+33</v>
      </c>
      <c r="T68" s="1">
        <f t="shared" si="22"/>
        <v>1.008423E+32</v>
      </c>
      <c r="U68" s="8">
        <f t="shared" si="14"/>
        <v>8.8512559894605759E-14</v>
      </c>
      <c r="V68" s="11">
        <f t="shared" si="15"/>
        <v>9.7282018657207524E+53</v>
      </c>
      <c r="W68" s="1">
        <f t="shared" si="16"/>
        <v>1.4805928853064861E+55</v>
      </c>
      <c r="X68">
        <f t="shared" si="23"/>
        <v>53.988032573879629</v>
      </c>
      <c r="Y68">
        <f t="shared" si="24"/>
        <v>55.170435658135773</v>
      </c>
      <c r="AA68" s="10">
        <f t="shared" si="25"/>
        <v>2.2494223193047329</v>
      </c>
    </row>
    <row r="69" spans="1:27" x14ac:dyDescent="0.25">
      <c r="A69" s="2">
        <v>1</v>
      </c>
      <c r="B69" s="2">
        <v>6.3620469999999996</v>
      </c>
      <c r="C69" s="6">
        <v>3.6377898293622293</v>
      </c>
      <c r="D69" s="2">
        <v>3.1E-2</v>
      </c>
      <c r="E69" s="2">
        <v>3912</v>
      </c>
      <c r="F69" s="2">
        <v>1.8320000000000001</v>
      </c>
      <c r="G69" s="2">
        <v>-2.23E-2</v>
      </c>
      <c r="H69" s="2">
        <v>6.6210000000000004</v>
      </c>
      <c r="I69" s="2">
        <v>0.13980000000000001</v>
      </c>
      <c r="J69" s="2">
        <v>5.8099999999999999E-2</v>
      </c>
      <c r="K69" s="2">
        <v>403.5</v>
      </c>
      <c r="L69" s="2">
        <v>0.45030000000000003</v>
      </c>
      <c r="M69" s="2">
        <v>3.322E-2</v>
      </c>
      <c r="N69">
        <f t="shared" si="17"/>
        <v>1.8320000000000001E-3</v>
      </c>
      <c r="O69" s="7">
        <f t="shared" si="13"/>
        <v>2301690.8963703117</v>
      </c>
      <c r="P69" s="7">
        <f t="shared" si="18"/>
        <v>72635840631295.75</v>
      </c>
      <c r="Q69">
        <f t="shared" si="19"/>
        <v>127569488000</v>
      </c>
      <c r="R69">
        <f t="shared" si="20"/>
        <v>28097319000000.004</v>
      </c>
      <c r="S69" s="1">
        <f t="shared" si="21"/>
        <v>1.9890000000000001E+33</v>
      </c>
      <c r="T69" s="1">
        <f t="shared" si="22"/>
        <v>1.1556090000000001E+32</v>
      </c>
      <c r="U69" s="8">
        <f t="shared" si="14"/>
        <v>8.6502548226480141E-14</v>
      </c>
      <c r="V69" s="11">
        <f t="shared" si="15"/>
        <v>1.0752960147273725E+54</v>
      </c>
      <c r="W69" s="1">
        <f t="shared" si="16"/>
        <v>1.4575731349540512E+55</v>
      </c>
      <c r="X69">
        <f t="shared" si="23"/>
        <v>54.031528036219939</v>
      </c>
      <c r="Y69">
        <f t="shared" si="24"/>
        <v>55.163630355067497</v>
      </c>
      <c r="AA69" s="10">
        <f t="shared" si="25"/>
        <v>2.3016908963703115</v>
      </c>
    </row>
    <row r="70" spans="1:27" x14ac:dyDescent="0.25">
      <c r="A70" s="2">
        <v>1</v>
      </c>
      <c r="B70" s="2">
        <v>6.3718009999999996</v>
      </c>
      <c r="C70" s="6">
        <v>3.6376898191184011</v>
      </c>
      <c r="D70" s="2">
        <v>2.4E-2</v>
      </c>
      <c r="E70" s="2">
        <v>3918</v>
      </c>
      <c r="F70" s="2">
        <v>1.8180000000000001</v>
      </c>
      <c r="G70" s="2">
        <v>-2.41E-2</v>
      </c>
      <c r="H70" s="2">
        <v>6.6239999999999997</v>
      </c>
      <c r="I70" s="2">
        <v>0.15</v>
      </c>
      <c r="J70" s="2">
        <v>5.8099999999999999E-2</v>
      </c>
      <c r="K70" s="2">
        <v>400.5</v>
      </c>
      <c r="L70" s="2">
        <v>0.45030000000000003</v>
      </c>
      <c r="M70" s="2">
        <v>3.3210000000000003E-2</v>
      </c>
      <c r="N70">
        <f t="shared" si="17"/>
        <v>1.818E-3</v>
      </c>
      <c r="O70" s="7">
        <f t="shared" si="13"/>
        <v>2353970.4135183794</v>
      </c>
      <c r="P70" s="7">
        <f t="shared" si="18"/>
        <v>74285656721647.609</v>
      </c>
      <c r="Q70">
        <f t="shared" si="19"/>
        <v>126594612000.00002</v>
      </c>
      <c r="R70">
        <f t="shared" si="20"/>
        <v>27888417000000</v>
      </c>
      <c r="S70" s="1">
        <f t="shared" si="21"/>
        <v>1.9890000000000001E+33</v>
      </c>
      <c r="T70" s="1">
        <f t="shared" si="22"/>
        <v>1.1556090000000001E+32</v>
      </c>
      <c r="U70" s="8">
        <f t="shared" si="14"/>
        <v>8.4581406215778944E-14</v>
      </c>
      <c r="V70" s="11">
        <f t="shared" si="15"/>
        <v>1.058605394618031E+54</v>
      </c>
      <c r="W70" s="1">
        <f t="shared" si="16"/>
        <v>1.4353809370566075E+55</v>
      </c>
      <c r="X70">
        <f t="shared" si="23"/>
        <v>54.024734102811188</v>
      </c>
      <c r="Y70">
        <f t="shared" si="24"/>
        <v>55.156967174175733</v>
      </c>
      <c r="AA70" s="10">
        <f t="shared" si="25"/>
        <v>2.3539704135183794</v>
      </c>
    </row>
    <row r="71" spans="1:27" x14ac:dyDescent="0.25">
      <c r="A71" s="2">
        <v>1</v>
      </c>
      <c r="B71" s="2">
        <v>6.3812129999999998</v>
      </c>
      <c r="C71" s="6">
        <v>3.6375897858387001</v>
      </c>
      <c r="D71" s="2">
        <v>1.7000000000000001E-2</v>
      </c>
      <c r="E71" s="2">
        <v>3924</v>
      </c>
      <c r="F71" s="2">
        <v>1.8049999999999999</v>
      </c>
      <c r="G71" s="2">
        <v>-2.64E-2</v>
      </c>
      <c r="H71" s="2">
        <v>6.6260000000000003</v>
      </c>
      <c r="I71" s="2">
        <v>0.15989999999999999</v>
      </c>
      <c r="J71" s="2">
        <v>6.5500000000000003E-2</v>
      </c>
      <c r="K71" s="2">
        <v>415</v>
      </c>
      <c r="L71" s="2">
        <v>0.4501</v>
      </c>
      <c r="M71" s="2">
        <v>3.6749999999999998E-2</v>
      </c>
      <c r="N71">
        <f t="shared" si="17"/>
        <v>1.805E-3</v>
      </c>
      <c r="O71" s="7">
        <f t="shared" si="13"/>
        <v>2405542.3104666392</v>
      </c>
      <c r="P71" s="7">
        <f t="shared" si="18"/>
        <v>75913142016782.016</v>
      </c>
      <c r="Q71">
        <f t="shared" si="19"/>
        <v>125689370000</v>
      </c>
      <c r="R71">
        <f t="shared" si="20"/>
        <v>28898110000000</v>
      </c>
      <c r="S71" s="1">
        <f t="shared" si="21"/>
        <v>1.9890000000000001E+33</v>
      </c>
      <c r="T71" s="1">
        <f t="shared" si="22"/>
        <v>1.3027950000000002E+32</v>
      </c>
      <c r="U71" s="8">
        <f t="shared" si="14"/>
        <v>8.2768083895020058E-14</v>
      </c>
      <c r="V71" s="11">
        <f t="shared" si="15"/>
        <v>1.1547533354105167E+54</v>
      </c>
      <c r="W71" s="1">
        <f t="shared" si="16"/>
        <v>1.4142978946075471E+55</v>
      </c>
      <c r="X71">
        <f t="shared" si="23"/>
        <v>54.062489225344471</v>
      </c>
      <c r="Y71">
        <f t="shared" si="24"/>
        <v>55.150540894862736</v>
      </c>
      <c r="AA71" s="10">
        <f t="shared" si="25"/>
        <v>2.4055423104666391</v>
      </c>
    </row>
    <row r="72" spans="1:27" x14ac:dyDescent="0.25">
      <c r="A72" s="2">
        <v>1</v>
      </c>
      <c r="B72" s="2">
        <v>6.3905709999999996</v>
      </c>
      <c r="C72" s="6">
        <v>3.6374897295125108</v>
      </c>
      <c r="D72" s="2">
        <v>1.0999999999999999E-2</v>
      </c>
      <c r="E72" s="2">
        <v>3931</v>
      </c>
      <c r="F72" s="2">
        <v>1.7929999999999999</v>
      </c>
      <c r="G72" s="2">
        <v>-2.87E-2</v>
      </c>
      <c r="H72" s="2">
        <v>6.6289999999999996</v>
      </c>
      <c r="I72" s="2">
        <v>0.16980000000000001</v>
      </c>
      <c r="J72" s="2">
        <v>7.2900000000000006E-2</v>
      </c>
      <c r="K72" s="2">
        <v>428.1</v>
      </c>
      <c r="L72" s="2">
        <v>0.44980000000000003</v>
      </c>
      <c r="M72" s="2">
        <v>4.0240000000000005E-2</v>
      </c>
      <c r="N72">
        <f t="shared" si="17"/>
        <v>1.7929999999999999E-3</v>
      </c>
      <c r="O72" s="7">
        <f t="shared" si="13"/>
        <v>2457938.4308500565</v>
      </c>
      <c r="P72" s="7">
        <f t="shared" si="18"/>
        <v>77566637825393.734</v>
      </c>
      <c r="Q72">
        <f t="shared" si="19"/>
        <v>124853762000</v>
      </c>
      <c r="R72">
        <f t="shared" si="20"/>
        <v>29810315400000</v>
      </c>
      <c r="S72" s="1">
        <f t="shared" si="21"/>
        <v>1.9890000000000001E+33</v>
      </c>
      <c r="T72" s="1">
        <f t="shared" si="22"/>
        <v>1.4499810000000001E+32</v>
      </c>
      <c r="U72" s="8">
        <f t="shared" si="14"/>
        <v>8.1003708338156167E-14</v>
      </c>
      <c r="V72" s="11">
        <f t="shared" si="15"/>
        <v>1.2476593357802558E+54</v>
      </c>
      <c r="W72" s="1">
        <f t="shared" si="16"/>
        <v>1.3946251720525823E+55</v>
      </c>
      <c r="X72">
        <f t="shared" si="23"/>
        <v>54.096096020613139</v>
      </c>
      <c r="Y72">
        <f t="shared" si="24"/>
        <v>55.144457499664881</v>
      </c>
      <c r="AA72" s="10">
        <f t="shared" si="25"/>
        <v>2.4579384308500565</v>
      </c>
    </row>
    <row r="73" spans="1:27" x14ac:dyDescent="0.25">
      <c r="A73" s="2">
        <v>1</v>
      </c>
      <c r="B73" s="2">
        <v>6.3991110000000004</v>
      </c>
      <c r="C73" s="6">
        <v>3.637389650129212</v>
      </c>
      <c r="D73" s="2">
        <v>5.0000000000000001E-3</v>
      </c>
      <c r="E73" s="2">
        <v>3936</v>
      </c>
      <c r="F73" s="2">
        <v>1.7809999999999999</v>
      </c>
      <c r="G73" s="2">
        <v>-3.1099999999999999E-2</v>
      </c>
      <c r="H73" s="2">
        <v>6.6310000000000002</v>
      </c>
      <c r="I73" s="2">
        <v>0.1789</v>
      </c>
      <c r="J73" s="2">
        <v>7.2900000000000006E-2</v>
      </c>
      <c r="K73" s="2">
        <v>425.3</v>
      </c>
      <c r="L73" s="2">
        <v>0.44980000000000003</v>
      </c>
      <c r="M73" s="2">
        <v>4.0229999999999995E-2</v>
      </c>
      <c r="N73">
        <f t="shared" si="17"/>
        <v>1.7809999999999998E-3</v>
      </c>
      <c r="O73" s="7">
        <f t="shared" si="13"/>
        <v>2506749.8637031191</v>
      </c>
      <c r="P73" s="7">
        <f t="shared" si="18"/>
        <v>79107009498797.547</v>
      </c>
      <c r="Q73">
        <f t="shared" si="19"/>
        <v>124018154000</v>
      </c>
      <c r="R73">
        <f t="shared" si="20"/>
        <v>29615340200000</v>
      </c>
      <c r="S73" s="1">
        <f t="shared" si="21"/>
        <v>1.9890000000000001E+33</v>
      </c>
      <c r="T73" s="1">
        <f t="shared" si="22"/>
        <v>1.4499810000000001E+32</v>
      </c>
      <c r="U73" s="8">
        <f t="shared" si="14"/>
        <v>7.9426404145325356E-14</v>
      </c>
      <c r="V73" s="11">
        <f t="shared" si="15"/>
        <v>1.2307088991044691E+54</v>
      </c>
      <c r="W73" s="1">
        <f t="shared" si="16"/>
        <v>1.3760200418026106E+55</v>
      </c>
      <c r="X73">
        <f t="shared" si="23"/>
        <v>54.090155340938651</v>
      </c>
      <c r="Y73">
        <f t="shared" si="24"/>
        <v>55.138624759467</v>
      </c>
      <c r="AA73" s="10">
        <f t="shared" si="25"/>
        <v>2.5067498637031189</v>
      </c>
    </row>
    <row r="74" spans="1:27" x14ac:dyDescent="0.25">
      <c r="A74" s="2">
        <v>1</v>
      </c>
      <c r="B74" s="2">
        <v>6.4091570000000004</v>
      </c>
      <c r="C74" s="6">
        <v>3.6372895476781744</v>
      </c>
      <c r="D74" s="2">
        <v>-2E-3</v>
      </c>
      <c r="E74" s="2">
        <v>3943</v>
      </c>
      <c r="F74" s="2">
        <v>1.768</v>
      </c>
      <c r="G74" s="2">
        <v>-3.3399999999999999E-2</v>
      </c>
      <c r="H74" s="2">
        <v>6.6340000000000003</v>
      </c>
      <c r="I74" s="2">
        <v>0.18959999999999999</v>
      </c>
      <c r="J74" s="2">
        <v>8.0199999999999994E-2</v>
      </c>
      <c r="K74" s="2">
        <v>436.9</v>
      </c>
      <c r="L74" s="2">
        <v>0.44950000000000001</v>
      </c>
      <c r="M74" s="2">
        <v>4.367E-2</v>
      </c>
      <c r="N74">
        <f t="shared" si="17"/>
        <v>1.768E-3</v>
      </c>
      <c r="O74" s="7">
        <f t="shared" si="13"/>
        <v>2565411.2801156761</v>
      </c>
      <c r="P74" s="7">
        <f t="shared" si="18"/>
        <v>80958223013378.453</v>
      </c>
      <c r="Q74">
        <f t="shared" si="19"/>
        <v>123112912000</v>
      </c>
      <c r="R74">
        <f t="shared" si="20"/>
        <v>30423094600000</v>
      </c>
      <c r="S74" s="1">
        <f t="shared" si="21"/>
        <v>1.9890000000000001E+33</v>
      </c>
      <c r="T74" s="1">
        <f t="shared" si="22"/>
        <v>1.5951779999999999E+32</v>
      </c>
      <c r="U74" s="8">
        <f t="shared" si="14"/>
        <v>7.7610217632139502E-14</v>
      </c>
      <c r="V74" s="11">
        <f t="shared" si="15"/>
        <v>1.3165130933112937E+54</v>
      </c>
      <c r="W74" s="1">
        <f t="shared" si="16"/>
        <v>1.3551010658196166E+55</v>
      </c>
      <c r="X74">
        <f t="shared" si="23"/>
        <v>54.119425182716348</v>
      </c>
      <c r="Y74">
        <f t="shared" si="24"/>
        <v>55.131971686864262</v>
      </c>
      <c r="AA74" s="10">
        <f t="shared" si="25"/>
        <v>2.5654112801156761</v>
      </c>
    </row>
    <row r="75" spans="1:27" x14ac:dyDescent="0.25">
      <c r="A75" s="2">
        <v>1</v>
      </c>
      <c r="B75" s="2">
        <v>6.419333</v>
      </c>
      <c r="C75" s="6">
        <v>3.637189422148762</v>
      </c>
      <c r="D75" s="2">
        <v>-8.9999999999999993E-3</v>
      </c>
      <c r="E75" s="2">
        <v>3949</v>
      </c>
      <c r="F75" s="2">
        <v>1.754</v>
      </c>
      <c r="G75" s="2">
        <v>-3.6700000000000003E-2</v>
      </c>
      <c r="H75" s="2">
        <v>6.6369999999999996</v>
      </c>
      <c r="I75" s="2">
        <v>0.20050000000000001</v>
      </c>
      <c r="J75" s="2">
        <v>8.7599999999999997E-2</v>
      </c>
      <c r="K75" s="2">
        <v>447.6</v>
      </c>
      <c r="L75" s="2">
        <v>0.44919999999999999</v>
      </c>
      <c r="M75" s="2">
        <v>4.7070000000000001E-2</v>
      </c>
      <c r="N75">
        <f t="shared" si="17"/>
        <v>1.7539999999999999E-3</v>
      </c>
      <c r="O75" s="7">
        <f t="shared" si="13"/>
        <v>2626231.4630038776</v>
      </c>
      <c r="P75" s="7">
        <f t="shared" si="18"/>
        <v>82877562016891.172</v>
      </c>
      <c r="Q75">
        <f t="shared" si="19"/>
        <v>122138036000</v>
      </c>
      <c r="R75">
        <f t="shared" si="20"/>
        <v>31168178400000</v>
      </c>
      <c r="S75" s="1">
        <f t="shared" si="21"/>
        <v>1.9890000000000001E+33</v>
      </c>
      <c r="T75" s="1">
        <f t="shared" si="22"/>
        <v>1.7423640000000001E+32</v>
      </c>
      <c r="U75" s="8">
        <f t="shared" si="14"/>
        <v>7.5812863630074176E-14</v>
      </c>
      <c r="V75" s="11">
        <f t="shared" si="15"/>
        <v>1.3966283252983285E+54</v>
      </c>
      <c r="W75" s="1">
        <f t="shared" si="16"/>
        <v>1.3328350195963653E+55</v>
      </c>
      <c r="X75">
        <f t="shared" si="23"/>
        <v>54.145080845807541</v>
      </c>
      <c r="Y75">
        <f t="shared" si="24"/>
        <v>55.124776395090365</v>
      </c>
      <c r="AA75" s="10">
        <f t="shared" si="25"/>
        <v>2.6262314630038777</v>
      </c>
    </row>
    <row r="76" spans="1:27" x14ac:dyDescent="0.25">
      <c r="A76" s="2">
        <v>1</v>
      </c>
      <c r="B76" s="2">
        <v>6.4310840000000002</v>
      </c>
      <c r="C76" s="6">
        <v>3.6370892735303304</v>
      </c>
      <c r="D76" s="2">
        <v>-1.7999999999999999E-2</v>
      </c>
      <c r="E76" s="2">
        <v>3957</v>
      </c>
      <c r="F76" s="2">
        <v>1.7390000000000001</v>
      </c>
      <c r="G76" s="2">
        <v>-0.04</v>
      </c>
      <c r="H76" s="2">
        <v>6.64</v>
      </c>
      <c r="I76" s="2">
        <v>0.2132</v>
      </c>
      <c r="J76" s="2">
        <v>9.5000000000000001E-2</v>
      </c>
      <c r="K76" s="2">
        <v>456.9</v>
      </c>
      <c r="L76" s="2">
        <v>0.44880000000000003</v>
      </c>
      <c r="M76" s="2">
        <v>5.042E-2</v>
      </c>
      <c r="N76">
        <f t="shared" si="17"/>
        <v>1.7390000000000001E-3</v>
      </c>
      <c r="O76" s="7">
        <f t="shared" si="13"/>
        <v>2698261.2719762195</v>
      </c>
      <c r="P76" s="7">
        <f t="shared" si="18"/>
        <v>85150649916516.75</v>
      </c>
      <c r="Q76">
        <f t="shared" si="19"/>
        <v>121093526000.00002</v>
      </c>
      <c r="R76">
        <f t="shared" si="20"/>
        <v>31815774600000</v>
      </c>
      <c r="S76" s="1">
        <f t="shared" si="21"/>
        <v>1.9890000000000001E+33</v>
      </c>
      <c r="T76" s="1">
        <f t="shared" si="22"/>
        <v>1.8895499999999999E+32</v>
      </c>
      <c r="U76" s="8">
        <f t="shared" si="14"/>
        <v>7.3789046981317649E-14</v>
      </c>
      <c r="V76" s="11">
        <f t="shared" si="15"/>
        <v>1.4705489140763899E+54</v>
      </c>
      <c r="W76" s="1">
        <f t="shared" si="16"/>
        <v>1.308969362628885E+55</v>
      </c>
      <c r="X76">
        <f t="shared" si="23"/>
        <v>54.167479474786752</v>
      </c>
      <c r="Y76">
        <f t="shared" si="24"/>
        <v>55.116929481694434</v>
      </c>
      <c r="AA76" s="10">
        <f t="shared" si="25"/>
        <v>2.6982612719762193</v>
      </c>
    </row>
    <row r="77" spans="1:27" x14ac:dyDescent="0.25">
      <c r="A77" s="2">
        <v>1</v>
      </c>
      <c r="B77" s="2">
        <v>6.4419430000000002</v>
      </c>
      <c r="C77" s="6">
        <v>3.6368889069837991</v>
      </c>
      <c r="D77" s="2">
        <v>-2.5000000000000001E-2</v>
      </c>
      <c r="E77" s="2">
        <v>3964</v>
      </c>
      <c r="F77" s="2">
        <v>1.7250000000000001</v>
      </c>
      <c r="G77" s="2">
        <v>-4.3799999999999999E-2</v>
      </c>
      <c r="H77" s="2">
        <v>6.6429999999999998</v>
      </c>
      <c r="I77" s="2">
        <v>0.22489999999999999</v>
      </c>
      <c r="J77" s="2">
        <v>0.1023</v>
      </c>
      <c r="K77" s="2">
        <v>465.7</v>
      </c>
      <c r="L77" s="2">
        <v>0.44839999999999997</v>
      </c>
      <c r="M77" s="2">
        <v>5.3740000000000003E-2</v>
      </c>
      <c r="N77">
        <f t="shared" si="17"/>
        <v>1.7250000000000002E-3</v>
      </c>
      <c r="O77" s="7">
        <f t="shared" si="13"/>
        <v>2766578.5154825593</v>
      </c>
      <c r="P77" s="7">
        <f t="shared" si="18"/>
        <v>87306578160192.422</v>
      </c>
      <c r="Q77">
        <f t="shared" si="19"/>
        <v>120118650000</v>
      </c>
      <c r="R77">
        <f t="shared" si="20"/>
        <v>32428553800000</v>
      </c>
      <c r="S77" s="1">
        <f t="shared" si="21"/>
        <v>1.9890000000000001E+33</v>
      </c>
      <c r="T77" s="1">
        <f t="shared" si="22"/>
        <v>2.0347469999999998E+32</v>
      </c>
      <c r="U77" s="8">
        <f t="shared" si="14"/>
        <v>7.1966917494475977E-14</v>
      </c>
      <c r="V77" s="11">
        <f t="shared" si="15"/>
        <v>1.5422448559397586E+54</v>
      </c>
      <c r="W77" s="1">
        <f t="shared" si="16"/>
        <v>1.2868302817331367E+55</v>
      </c>
      <c r="X77">
        <f t="shared" si="23"/>
        <v>54.188153330356634</v>
      </c>
      <c r="Y77">
        <f t="shared" si="24"/>
        <v>55.10952127218242</v>
      </c>
      <c r="AA77" s="10">
        <f t="shared" si="25"/>
        <v>2.7665785154825593</v>
      </c>
    </row>
    <row r="78" spans="1:27" x14ac:dyDescent="0.25">
      <c r="A78" s="2">
        <v>1</v>
      </c>
      <c r="B78" s="2">
        <v>6.4530050000000001</v>
      </c>
      <c r="C78" s="6">
        <v>3.636788689034375</v>
      </c>
      <c r="D78" s="2">
        <v>-3.3000000000000002E-2</v>
      </c>
      <c r="E78" s="2">
        <v>3971</v>
      </c>
      <c r="F78" s="2">
        <v>1.71</v>
      </c>
      <c r="G78" s="2">
        <v>-4.7199999999999999E-2</v>
      </c>
      <c r="H78" s="2">
        <v>6.6459999999999999</v>
      </c>
      <c r="I78" s="2">
        <v>0.2369</v>
      </c>
      <c r="J78" s="2">
        <v>0.10970000000000001</v>
      </c>
      <c r="K78" s="2">
        <v>473.8</v>
      </c>
      <c r="L78" s="2">
        <v>0.44800000000000001</v>
      </c>
      <c r="M78" s="2">
        <v>5.7020000000000001E-2</v>
      </c>
      <c r="N78">
        <f t="shared" si="17"/>
        <v>1.7099999999999999E-3</v>
      </c>
      <c r="O78" s="7">
        <f t="shared" si="13"/>
        <v>2837951.7013798929</v>
      </c>
      <c r="P78" s="7">
        <f t="shared" si="18"/>
        <v>89558944611466.109</v>
      </c>
      <c r="Q78">
        <f t="shared" si="19"/>
        <v>119074140000</v>
      </c>
      <c r="R78">
        <f t="shared" si="20"/>
        <v>32992589200000.004</v>
      </c>
      <c r="S78" s="1">
        <f t="shared" si="21"/>
        <v>1.9890000000000001E+33</v>
      </c>
      <c r="T78" s="1">
        <f t="shared" si="22"/>
        <v>2.1819330000000003E+32</v>
      </c>
      <c r="U78" s="8">
        <f t="shared" si="14"/>
        <v>7.0156982470460679E-14</v>
      </c>
      <c r="V78" s="11">
        <f t="shared" si="15"/>
        <v>1.6080402057757088E+54</v>
      </c>
      <c r="W78" s="1">
        <f t="shared" si="16"/>
        <v>1.2634198740573788E+55</v>
      </c>
      <c r="X78">
        <f t="shared" si="23"/>
        <v>54.206296903198648</v>
      </c>
      <c r="Y78">
        <f t="shared" si="24"/>
        <v>55.10154770422335</v>
      </c>
      <c r="AA78" s="10">
        <f t="shared" si="25"/>
        <v>2.8379517013798927</v>
      </c>
    </row>
    <row r="79" spans="1:27" x14ac:dyDescent="0.25">
      <c r="A79" s="2">
        <v>1</v>
      </c>
      <c r="B79" s="2">
        <v>6.4600949999999999</v>
      </c>
      <c r="C79" s="6">
        <v>3.6366884479532828</v>
      </c>
      <c r="D79" s="2">
        <v>-3.7999999999999999E-2</v>
      </c>
      <c r="E79" s="2">
        <v>3976</v>
      </c>
      <c r="F79" s="2">
        <v>1.7010000000000001</v>
      </c>
      <c r="G79" s="2">
        <v>-4.9599999999999998E-2</v>
      </c>
      <c r="H79" s="2">
        <v>6.6470000000000002</v>
      </c>
      <c r="I79" s="2">
        <v>0.2445</v>
      </c>
      <c r="J79" s="2">
        <v>0.10970000000000001</v>
      </c>
      <c r="K79" s="2">
        <v>471.1</v>
      </c>
      <c r="L79" s="2">
        <v>0.44800000000000001</v>
      </c>
      <c r="M79" s="2">
        <v>5.7000000000000002E-2</v>
      </c>
      <c r="N79">
        <f t="shared" si="17"/>
        <v>1.701E-3</v>
      </c>
      <c r="O79" s="7">
        <f t="shared" si="13"/>
        <v>2884662.4412865094</v>
      </c>
      <c r="P79" s="7">
        <f t="shared" si="18"/>
        <v>91033023457143.156</v>
      </c>
      <c r="Q79">
        <f t="shared" si="19"/>
        <v>118447434000</v>
      </c>
      <c r="R79">
        <f t="shared" si="20"/>
        <v>32804577400000.004</v>
      </c>
      <c r="S79" s="1">
        <f t="shared" si="21"/>
        <v>1.9890000000000001E+33</v>
      </c>
      <c r="T79" s="1">
        <f t="shared" si="22"/>
        <v>2.1819330000000003E+32</v>
      </c>
      <c r="U79" s="8">
        <f t="shared" si="14"/>
        <v>6.9020945021535025E-14</v>
      </c>
      <c r="V79" s="11">
        <f t="shared" si="15"/>
        <v>1.5905999055875339E+54</v>
      </c>
      <c r="W79" s="1">
        <f t="shared" si="16"/>
        <v>1.2501557152687988E+55</v>
      </c>
      <c r="X79">
        <f t="shared" si="23"/>
        <v>54.201560952338532</v>
      </c>
      <c r="Y79">
        <f t="shared" si="24"/>
        <v>55.096964110664182</v>
      </c>
      <c r="AA79" s="10">
        <f t="shared" si="25"/>
        <v>2.8846624412865092</v>
      </c>
    </row>
    <row r="80" spans="1:27" x14ac:dyDescent="0.25">
      <c r="A80" s="2">
        <v>1</v>
      </c>
      <c r="B80" s="2">
        <v>6.4747919999999999</v>
      </c>
      <c r="C80" s="6">
        <v>3.6364878963533656</v>
      </c>
      <c r="D80" s="2">
        <v>-4.8000000000000001E-2</v>
      </c>
      <c r="E80" s="2">
        <v>3985</v>
      </c>
      <c r="F80" s="2">
        <v>1.6830000000000001</v>
      </c>
      <c r="G80" s="2">
        <v>-5.5E-2</v>
      </c>
      <c r="H80" s="2">
        <v>6.6509999999999998</v>
      </c>
      <c r="I80" s="2">
        <v>0.26050000000000001</v>
      </c>
      <c r="J80" s="2">
        <v>0.1245</v>
      </c>
      <c r="K80" s="2">
        <v>488.3</v>
      </c>
      <c r="L80" s="2">
        <v>0.44719999999999999</v>
      </c>
      <c r="M80" s="2">
        <v>6.3509999999999997E-2</v>
      </c>
      <c r="N80">
        <f t="shared" si="17"/>
        <v>1.683E-3</v>
      </c>
      <c r="O80" s="7">
        <f t="shared" si="13"/>
        <v>2983953.1489756489</v>
      </c>
      <c r="P80" s="7">
        <f t="shared" si="18"/>
        <v>94166399894113.938</v>
      </c>
      <c r="Q80">
        <f t="shared" si="19"/>
        <v>117194022000.00002</v>
      </c>
      <c r="R80">
        <f t="shared" si="20"/>
        <v>34002282200000</v>
      </c>
      <c r="S80" s="1">
        <f t="shared" si="21"/>
        <v>1.9890000000000001E+33</v>
      </c>
      <c r="T80" s="1">
        <f t="shared" si="22"/>
        <v>2.4763049999999998E+32</v>
      </c>
      <c r="U80" s="8">
        <f t="shared" si="14"/>
        <v>6.6724280786403198E-14</v>
      </c>
      <c r="V80" s="11">
        <f t="shared" si="15"/>
        <v>1.7349533991431308E+54</v>
      </c>
      <c r="W80" s="1">
        <f t="shared" si="16"/>
        <v>1.2216519604736389E+55</v>
      </c>
      <c r="X80">
        <f t="shared" si="23"/>
        <v>54.239287814131622</v>
      </c>
      <c r="Y80">
        <f t="shared" si="24"/>
        <v>55.086947496270916</v>
      </c>
      <c r="AA80" s="10">
        <f t="shared" si="25"/>
        <v>2.9839531489756488</v>
      </c>
    </row>
    <row r="81" spans="1:27" x14ac:dyDescent="0.25">
      <c r="A81" s="2">
        <v>1</v>
      </c>
      <c r="B81" s="2">
        <v>6.4821540000000004</v>
      </c>
      <c r="C81" s="6">
        <v>3.6364878963533656</v>
      </c>
      <c r="D81" s="2">
        <v>-5.2999999999999999E-2</v>
      </c>
      <c r="E81" s="2">
        <v>3990</v>
      </c>
      <c r="F81" s="2">
        <v>1.6739999999999999</v>
      </c>
      <c r="G81" s="2">
        <v>-5.8000000000000003E-2</v>
      </c>
      <c r="H81" s="2">
        <v>6.6529999999999996</v>
      </c>
      <c r="I81" s="2">
        <v>0.26860000000000001</v>
      </c>
      <c r="J81" s="2">
        <v>0.1245</v>
      </c>
      <c r="K81" s="2">
        <v>485.5</v>
      </c>
      <c r="L81" s="2">
        <v>0.4471</v>
      </c>
      <c r="M81" s="2">
        <v>6.3479999999999995E-2</v>
      </c>
      <c r="N81">
        <f t="shared" si="17"/>
        <v>1.6739999999999999E-3</v>
      </c>
      <c r="O81" s="7">
        <f t="shared" si="13"/>
        <v>3034967.1870199144</v>
      </c>
      <c r="P81" s="7">
        <f t="shared" si="18"/>
        <v>95776280501099.656</v>
      </c>
      <c r="Q81">
        <f t="shared" si="19"/>
        <v>116567315999.99998</v>
      </c>
      <c r="R81">
        <f t="shared" si="20"/>
        <v>33807307000000</v>
      </c>
      <c r="S81" s="1">
        <f t="shared" si="21"/>
        <v>1.9890000000000001E+33</v>
      </c>
      <c r="T81" s="1">
        <f t="shared" si="22"/>
        <v>2.4763049999999998E+32</v>
      </c>
      <c r="U81" s="8">
        <f t="shared" si="14"/>
        <v>6.5602728298761258E-14</v>
      </c>
      <c r="V81" s="11">
        <f t="shared" si="15"/>
        <v>1.7156365695267353E+54</v>
      </c>
      <c r="W81" s="1">
        <f t="shared" si="16"/>
        <v>1.2083508352794633E+55</v>
      </c>
      <c r="X81">
        <f t="shared" si="23"/>
        <v>54.234425294838196</v>
      </c>
      <c r="Y81">
        <f t="shared" si="24"/>
        <v>55.082193046623416</v>
      </c>
      <c r="AA81" s="10">
        <f t="shared" si="25"/>
        <v>3.0349671870199142</v>
      </c>
    </row>
    <row r="82" spans="1:27" x14ac:dyDescent="0.25">
      <c r="A82" s="2">
        <v>1</v>
      </c>
      <c r="B82" s="2">
        <v>6.4895300000000002</v>
      </c>
      <c r="C82" s="6">
        <v>3.6363875858131567</v>
      </c>
      <c r="D82" s="2">
        <v>-5.8000000000000003E-2</v>
      </c>
      <c r="E82" s="2">
        <v>3995</v>
      </c>
      <c r="F82" s="2">
        <v>1.665</v>
      </c>
      <c r="G82" s="2">
        <v>-6.0499999999999998E-2</v>
      </c>
      <c r="H82" s="2">
        <v>6.6550000000000002</v>
      </c>
      <c r="I82" s="2">
        <v>0.2767</v>
      </c>
      <c r="J82" s="2">
        <v>0.1318</v>
      </c>
      <c r="K82" s="2">
        <v>493.3</v>
      </c>
      <c r="L82" s="2">
        <v>0.44669999999999999</v>
      </c>
      <c r="M82" s="2">
        <v>6.6689999999999999E-2</v>
      </c>
      <c r="N82">
        <f t="shared" si="17"/>
        <v>1.665E-3</v>
      </c>
      <c r="O82" s="7">
        <f t="shared" si="13"/>
        <v>3086952.8774693706</v>
      </c>
      <c r="P82" s="7">
        <f t="shared" si="18"/>
        <v>97416824126027.406</v>
      </c>
      <c r="Q82">
        <f t="shared" si="19"/>
        <v>115940610000</v>
      </c>
      <c r="R82">
        <f t="shared" si="20"/>
        <v>34350452200000</v>
      </c>
      <c r="S82" s="1">
        <f t="shared" si="21"/>
        <v>1.9890000000000001E+33</v>
      </c>
      <c r="T82" s="1">
        <f t="shared" si="22"/>
        <v>2.6215019999999997E+32</v>
      </c>
      <c r="U82" s="8">
        <f t="shared" si="14"/>
        <v>6.4497948517096765E-14</v>
      </c>
      <c r="V82" s="11">
        <f t="shared" si="15"/>
        <v>1.7830628949194599E+54</v>
      </c>
      <c r="W82" s="1">
        <f t="shared" si="16"/>
        <v>1.1943232795929265E+55</v>
      </c>
      <c r="X82">
        <f t="shared" si="23"/>
        <v>54.251166662544229</v>
      </c>
      <c r="Y82">
        <f t="shared" si="24"/>
        <v>55.077121897597415</v>
      </c>
      <c r="AA82" s="10">
        <f t="shared" si="25"/>
        <v>3.0869528774693706</v>
      </c>
    </row>
    <row r="83" spans="1:27" x14ac:dyDescent="0.25">
      <c r="A83" s="2">
        <v>1</v>
      </c>
      <c r="B83" s="2">
        <v>6.5043150000000001</v>
      </c>
      <c r="C83" s="6">
        <v>3.6361868951987244</v>
      </c>
      <c r="D83" s="2">
        <v>-6.8000000000000005E-2</v>
      </c>
      <c r="E83" s="2">
        <v>4004</v>
      </c>
      <c r="F83" s="2">
        <v>1.647</v>
      </c>
      <c r="G83" s="2">
        <v>-6.6500000000000004E-2</v>
      </c>
      <c r="H83" s="2">
        <v>6.6589999999999998</v>
      </c>
      <c r="I83" s="2">
        <v>0.29299999999999998</v>
      </c>
      <c r="J83" s="2">
        <v>0.13919999999999999</v>
      </c>
      <c r="K83" s="2">
        <v>497.8</v>
      </c>
      <c r="L83" s="2">
        <v>0.44619999999999999</v>
      </c>
      <c r="M83" s="2">
        <v>6.9839999999999999E-2</v>
      </c>
      <c r="N83">
        <f t="shared" si="17"/>
        <v>1.647E-3</v>
      </c>
      <c r="O83" s="7">
        <f t="shared" si="13"/>
        <v>3193853.5628662272</v>
      </c>
      <c r="P83" s="7">
        <f t="shared" si="18"/>
        <v>100790353195507.25</v>
      </c>
      <c r="Q83">
        <f t="shared" si="19"/>
        <v>114687198000</v>
      </c>
      <c r="R83">
        <f t="shared" si="20"/>
        <v>34663805200000</v>
      </c>
      <c r="S83" s="1">
        <f t="shared" si="21"/>
        <v>1.9890000000000001E+33</v>
      </c>
      <c r="T83" s="1">
        <f t="shared" si="22"/>
        <v>2.7686879999999994E+32</v>
      </c>
      <c r="U83" s="8">
        <f t="shared" si="14"/>
        <v>6.2339153579428669E-14</v>
      </c>
      <c r="V83" s="11">
        <f t="shared" si="15"/>
        <v>1.8271276862729769E+54</v>
      </c>
      <c r="W83" s="1">
        <f t="shared" si="16"/>
        <v>1.1673315773410686E+55</v>
      </c>
      <c r="X83">
        <f t="shared" si="23"/>
        <v>54.261768898477925</v>
      </c>
      <c r="Y83">
        <f t="shared" si="24"/>
        <v>55.06719423372823</v>
      </c>
      <c r="AA83" s="10">
        <f t="shared" si="25"/>
        <v>3.1938535628662272</v>
      </c>
    </row>
    <row r="84" spans="1:27" x14ac:dyDescent="0.25">
      <c r="A84" s="2">
        <v>1</v>
      </c>
      <c r="B84" s="2">
        <v>6.5117240000000001</v>
      </c>
      <c r="C84" s="6">
        <v>3.6360865151030728</v>
      </c>
      <c r="D84" s="2">
        <v>-7.2999999999999995E-2</v>
      </c>
      <c r="E84" s="2">
        <v>4009</v>
      </c>
      <c r="F84" s="2">
        <v>1.6379999999999999</v>
      </c>
      <c r="G84" s="2">
        <v>-6.9599999999999995E-2</v>
      </c>
      <c r="H84" s="2">
        <v>6.6609999999999996</v>
      </c>
      <c r="I84" s="2">
        <v>0.30120000000000002</v>
      </c>
      <c r="J84" s="2">
        <v>0.14660000000000001</v>
      </c>
      <c r="K84" s="2">
        <v>504.8</v>
      </c>
      <c r="L84" s="2">
        <v>0.4456</v>
      </c>
      <c r="M84" s="2">
        <v>7.2999999999999995E-2</v>
      </c>
      <c r="N84">
        <f t="shared" si="17"/>
        <v>1.6379999999999999E-3</v>
      </c>
      <c r="O84" s="7">
        <f t="shared" si="13"/>
        <v>3248807.6565772803</v>
      </c>
      <c r="P84" s="7">
        <f t="shared" si="18"/>
        <v>102524572503203.17</v>
      </c>
      <c r="Q84">
        <f t="shared" si="19"/>
        <v>114060492000</v>
      </c>
      <c r="R84">
        <f t="shared" si="20"/>
        <v>35151243200000</v>
      </c>
      <c r="S84" s="1">
        <f t="shared" si="21"/>
        <v>1.9890000000000001E+33</v>
      </c>
      <c r="T84" s="1">
        <f t="shared" si="22"/>
        <v>2.9158740000000003E+32</v>
      </c>
      <c r="U84" s="8">
        <f t="shared" si="14"/>
        <v>6.1284676968375376E-14</v>
      </c>
      <c r="V84" s="11">
        <f t="shared" si="15"/>
        <v>1.8889833258954497E+54</v>
      </c>
      <c r="W84" s="1">
        <f t="shared" si="16"/>
        <v>1.1530561233137158E+55</v>
      </c>
      <c r="X84">
        <f t="shared" si="23"/>
        <v>54.27622812441016</v>
      </c>
      <c r="Y84">
        <f t="shared" si="24"/>
        <v>55.061850446455374</v>
      </c>
      <c r="AA84" s="10">
        <f t="shared" si="25"/>
        <v>3.2488076565772803</v>
      </c>
    </row>
    <row r="85" spans="1:27" x14ac:dyDescent="0.25">
      <c r="A85" s="2">
        <v>1</v>
      </c>
      <c r="B85" s="2">
        <v>6.5191499999999998</v>
      </c>
      <c r="C85" s="6">
        <v>3.635986111800833</v>
      </c>
      <c r="D85" s="2">
        <v>-7.8E-2</v>
      </c>
      <c r="E85" s="2">
        <v>4014</v>
      </c>
      <c r="F85" s="2">
        <v>1.629</v>
      </c>
      <c r="G85" s="2">
        <v>-7.3099999999999998E-2</v>
      </c>
      <c r="H85" s="2">
        <v>6.6619999999999999</v>
      </c>
      <c r="I85" s="2">
        <v>0.30940000000000001</v>
      </c>
      <c r="J85" s="2">
        <v>0.15390000000000001</v>
      </c>
      <c r="K85" s="2">
        <v>511.5</v>
      </c>
      <c r="L85" s="2">
        <v>0.4451</v>
      </c>
      <c r="M85" s="2">
        <v>7.6150000000000009E-2</v>
      </c>
      <c r="N85">
        <f t="shared" si="17"/>
        <v>1.629E-3</v>
      </c>
      <c r="O85" s="7">
        <f t="shared" si="13"/>
        <v>3304836.6634147782</v>
      </c>
      <c r="P85" s="7">
        <f t="shared" si="18"/>
        <v>104292713489378.2</v>
      </c>
      <c r="Q85">
        <f t="shared" si="19"/>
        <v>113433786000</v>
      </c>
      <c r="R85">
        <f t="shared" si="20"/>
        <v>35617791000000</v>
      </c>
      <c r="S85" s="1">
        <f t="shared" si="21"/>
        <v>1.9890000000000001E+33</v>
      </c>
      <c r="T85" s="1">
        <f t="shared" si="22"/>
        <v>3.0610710000000002E+32</v>
      </c>
      <c r="U85" s="8">
        <f t="shared" si="14"/>
        <v>6.024567869565982E-14</v>
      </c>
      <c r="V85" s="11">
        <f t="shared" si="15"/>
        <v>1.9488999556772035E+54</v>
      </c>
      <c r="W85" s="1">
        <f t="shared" si="16"/>
        <v>1.1391403417884743E+55</v>
      </c>
      <c r="X85">
        <f t="shared" si="23"/>
        <v>54.289789545729981</v>
      </c>
      <c r="Y85">
        <f t="shared" si="24"/>
        <v>55.056577232340445</v>
      </c>
      <c r="AA85" s="10">
        <f t="shared" si="25"/>
        <v>3.3048366634147781</v>
      </c>
    </row>
    <row r="86" spans="1:27" x14ac:dyDescent="0.25">
      <c r="A86" s="2">
        <v>1</v>
      </c>
      <c r="B86" s="2">
        <v>6.5340429999999996</v>
      </c>
      <c r="C86" s="6">
        <v>3.635785235533652</v>
      </c>
      <c r="D86" s="2">
        <v>-8.8999999999999996E-2</v>
      </c>
      <c r="E86" s="2">
        <v>4023</v>
      </c>
      <c r="F86" s="2">
        <v>1.611</v>
      </c>
      <c r="G86" s="2">
        <v>-7.9399999999999998E-2</v>
      </c>
      <c r="H86" s="2">
        <v>6.6660000000000004</v>
      </c>
      <c r="I86" s="2">
        <v>0.3261</v>
      </c>
      <c r="J86" s="2">
        <v>0.1613</v>
      </c>
      <c r="K86" s="2">
        <v>514.79999999999995</v>
      </c>
      <c r="L86" s="2">
        <v>0.44450000000000001</v>
      </c>
      <c r="M86" s="2">
        <v>7.9219999999999999E-2</v>
      </c>
      <c r="N86">
        <f t="shared" si="17"/>
        <v>1.611E-3</v>
      </c>
      <c r="O86" s="7">
        <f t="shared" si="13"/>
        <v>3420133.0397096924</v>
      </c>
      <c r="P86" s="7">
        <f t="shared" si="18"/>
        <v>107931190413942.59</v>
      </c>
      <c r="Q86">
        <f t="shared" si="19"/>
        <v>112180374000</v>
      </c>
      <c r="R86">
        <f t="shared" si="20"/>
        <v>35847583200000</v>
      </c>
      <c r="S86" s="1">
        <f t="shared" si="21"/>
        <v>1.9890000000000001E+33</v>
      </c>
      <c r="T86" s="1">
        <f t="shared" si="22"/>
        <v>3.2082569999999996E+32</v>
      </c>
      <c r="U86" s="8">
        <f t="shared" si="14"/>
        <v>5.8214731840555351E-14</v>
      </c>
      <c r="V86" s="11">
        <f t="shared" si="15"/>
        <v>1.9829117595900237E+54</v>
      </c>
      <c r="W86" s="1">
        <f t="shared" si="16"/>
        <v>1.1126032278941751E+55</v>
      </c>
      <c r="X86">
        <f t="shared" si="23"/>
        <v>54.297303388347615</v>
      </c>
      <c r="Y86">
        <f t="shared" si="24"/>
        <v>55.046340315585567</v>
      </c>
      <c r="AA86" s="10">
        <f t="shared" si="25"/>
        <v>3.4201330397096923</v>
      </c>
    </row>
    <row r="87" spans="1:27" x14ac:dyDescent="0.25">
      <c r="A87" s="2">
        <v>1</v>
      </c>
      <c r="B87" s="2">
        <v>6.5415130000000001</v>
      </c>
      <c r="C87" s="6">
        <v>3.635785235533652</v>
      </c>
      <c r="D87" s="2">
        <v>-9.4E-2</v>
      </c>
      <c r="E87" s="2">
        <v>4028</v>
      </c>
      <c r="F87" s="2">
        <v>1.603</v>
      </c>
      <c r="G87" s="2">
        <v>-8.3000000000000004E-2</v>
      </c>
      <c r="H87" s="2">
        <v>6.6680000000000001</v>
      </c>
      <c r="I87" s="2">
        <v>0.33439999999999998</v>
      </c>
      <c r="J87" s="2">
        <v>0.16869999999999999</v>
      </c>
      <c r="K87" s="2">
        <v>520.70000000000005</v>
      </c>
      <c r="L87" s="2">
        <v>0.44389999999999996</v>
      </c>
      <c r="M87" s="2">
        <v>8.231999999999999E-2</v>
      </c>
      <c r="N87">
        <f t="shared" si="17"/>
        <v>1.603E-3</v>
      </c>
      <c r="O87" s="7">
        <f t="shared" si="13"/>
        <v>3479469.2279938152</v>
      </c>
      <c r="P87" s="7">
        <f t="shared" si="18"/>
        <v>109803698109337.63</v>
      </c>
      <c r="Q87">
        <f t="shared" si="19"/>
        <v>111623302000</v>
      </c>
      <c r="R87">
        <f t="shared" si="20"/>
        <v>36258423800000.008</v>
      </c>
      <c r="S87" s="1">
        <f t="shared" si="21"/>
        <v>1.9890000000000001E+33</v>
      </c>
      <c r="T87" s="1">
        <f t="shared" si="22"/>
        <v>3.3554429999999997E+32</v>
      </c>
      <c r="U87" s="8">
        <f t="shared" si="14"/>
        <v>5.7221982641450473E-14</v>
      </c>
      <c r="V87" s="11">
        <f t="shared" si="15"/>
        <v>2.0400925782122534E+54</v>
      </c>
      <c r="W87" s="1">
        <f t="shared" si="16"/>
        <v>1.1000936533872926E+55</v>
      </c>
      <c r="X87">
        <f t="shared" si="23"/>
        <v>54.309649875903567</v>
      </c>
      <c r="Y87">
        <f t="shared" si="24"/>
        <v>55.041429659174561</v>
      </c>
      <c r="AA87" s="10">
        <f t="shared" si="25"/>
        <v>3.4794692279938153</v>
      </c>
    </row>
    <row r="88" spans="1:27" x14ac:dyDescent="0.25">
      <c r="A88" s="2">
        <v>1</v>
      </c>
      <c r="B88" s="2">
        <v>6.5490000000000004</v>
      </c>
      <c r="C88" s="6">
        <v>3.6356847625472226</v>
      </c>
      <c r="D88" s="2">
        <v>-9.9000000000000005E-2</v>
      </c>
      <c r="E88" s="2">
        <v>4033</v>
      </c>
      <c r="F88" s="2">
        <v>1.5940000000000001</v>
      </c>
      <c r="G88" s="2">
        <v>-8.6699999999999999E-2</v>
      </c>
      <c r="H88" s="2">
        <v>6.67</v>
      </c>
      <c r="I88" s="2">
        <v>0.34289999999999998</v>
      </c>
      <c r="J88" s="2">
        <v>0.17599999999999999</v>
      </c>
      <c r="K88" s="2">
        <v>526.5</v>
      </c>
      <c r="L88" s="2">
        <v>0.44319999999999998</v>
      </c>
      <c r="M88" s="2">
        <v>8.541E-2</v>
      </c>
      <c r="N88">
        <f t="shared" si="17"/>
        <v>1.5940000000000001E-3</v>
      </c>
      <c r="O88" s="7">
        <f t="shared" si="13"/>
        <v>3539973.4108343557</v>
      </c>
      <c r="P88" s="7">
        <f t="shared" si="18"/>
        <v>111713064909746.27</v>
      </c>
      <c r="Q88">
        <f t="shared" si="19"/>
        <v>110996596000</v>
      </c>
      <c r="R88">
        <f t="shared" si="20"/>
        <v>36662301000000</v>
      </c>
      <c r="S88" s="1">
        <f t="shared" si="21"/>
        <v>1.9890000000000001E+33</v>
      </c>
      <c r="T88" s="1">
        <f t="shared" si="22"/>
        <v>3.50064E+32</v>
      </c>
      <c r="U88" s="8">
        <f t="shared" si="14"/>
        <v>5.6243961368849866E-14</v>
      </c>
      <c r="V88" s="11">
        <f t="shared" si="15"/>
        <v>2.0929691426107149E+54</v>
      </c>
      <c r="W88" s="1">
        <f t="shared" si="16"/>
        <v>1.0860600913301356E+55</v>
      </c>
      <c r="X88">
        <f t="shared" si="23"/>
        <v>54.320762825427707</v>
      </c>
      <c r="Y88">
        <f t="shared" si="24"/>
        <v>55.035853855281459</v>
      </c>
      <c r="AA88" s="10">
        <f t="shared" si="25"/>
        <v>3.5399734108343557</v>
      </c>
    </row>
    <row r="89" spans="1:27" x14ac:dyDescent="0.25">
      <c r="A89" s="2">
        <v>1</v>
      </c>
      <c r="B89" s="2">
        <v>6.5640229999999997</v>
      </c>
      <c r="C89" s="6">
        <v>3.6354837468149119</v>
      </c>
      <c r="D89" s="2">
        <v>-0.109</v>
      </c>
      <c r="E89" s="2">
        <v>4042</v>
      </c>
      <c r="F89" s="2">
        <v>1.577</v>
      </c>
      <c r="G89" s="2">
        <v>-9.3700000000000006E-2</v>
      </c>
      <c r="H89" s="2">
        <v>6.673</v>
      </c>
      <c r="I89" s="2">
        <v>0.35980000000000001</v>
      </c>
      <c r="J89" s="2">
        <v>0.18340000000000001</v>
      </c>
      <c r="K89" s="2">
        <v>528.70000000000005</v>
      </c>
      <c r="L89" s="2">
        <v>0.4425</v>
      </c>
      <c r="M89" s="2">
        <v>8.8410000000000002E-2</v>
      </c>
      <c r="N89">
        <f t="shared" si="17"/>
        <v>1.5770000000000001E-3</v>
      </c>
      <c r="O89" s="7">
        <f t="shared" si="13"/>
        <v>3664569.8149674595</v>
      </c>
      <c r="P89" s="7">
        <f t="shared" si="18"/>
        <v>115645028392817.09</v>
      </c>
      <c r="Q89">
        <f t="shared" si="19"/>
        <v>109812818000</v>
      </c>
      <c r="R89">
        <f t="shared" si="20"/>
        <v>36815495800000</v>
      </c>
      <c r="S89" s="1">
        <f t="shared" si="21"/>
        <v>1.9890000000000001E+33</v>
      </c>
      <c r="T89" s="1">
        <f t="shared" si="22"/>
        <v>3.6478260000000001E+32</v>
      </c>
      <c r="U89" s="8">
        <f t="shared" si="14"/>
        <v>5.4331650867317748E-14</v>
      </c>
      <c r="V89" s="11">
        <f t="shared" si="15"/>
        <v>2.1205193835141903E+54</v>
      </c>
      <c r="W89" s="1">
        <f t="shared" si="16"/>
        <v>1.0613390195736106E+55</v>
      </c>
      <c r="X89">
        <f t="shared" si="23"/>
        <v>54.326442246668293</v>
      </c>
      <c r="Y89">
        <f t="shared" si="24"/>
        <v>55.025854131132554</v>
      </c>
      <c r="AA89" s="10">
        <f t="shared" si="25"/>
        <v>3.6645698149674595</v>
      </c>
    </row>
    <row r="90" spans="1:27" x14ac:dyDescent="0.25">
      <c r="A90" s="2">
        <v>1</v>
      </c>
      <c r="B90" s="2">
        <v>6.5715630000000003</v>
      </c>
      <c r="C90" s="6">
        <v>3.6353832040474985</v>
      </c>
      <c r="D90" s="2">
        <v>-0.114</v>
      </c>
      <c r="E90" s="2">
        <v>4047</v>
      </c>
      <c r="F90" s="2">
        <v>1.5680000000000001</v>
      </c>
      <c r="G90" s="2">
        <v>-9.8000000000000004E-2</v>
      </c>
      <c r="H90" s="2">
        <v>6.6749999999999998</v>
      </c>
      <c r="I90" s="2">
        <v>0.36840000000000001</v>
      </c>
      <c r="J90" s="2">
        <v>0.1908</v>
      </c>
      <c r="K90" s="2">
        <v>533.9</v>
      </c>
      <c r="L90" s="2">
        <v>0.44189999999999996</v>
      </c>
      <c r="M90" s="2">
        <v>9.1450000000000004E-2</v>
      </c>
      <c r="N90">
        <f t="shared" si="17"/>
        <v>1.5680000000000002E-3</v>
      </c>
      <c r="O90" s="7">
        <f t="shared" si="13"/>
        <v>3728747.7130096829</v>
      </c>
      <c r="P90" s="7">
        <f t="shared" si="18"/>
        <v>117670328828074.38</v>
      </c>
      <c r="Q90">
        <f t="shared" si="19"/>
        <v>109186112000.00002</v>
      </c>
      <c r="R90">
        <f t="shared" si="20"/>
        <v>37177592600000</v>
      </c>
      <c r="S90" s="1">
        <f t="shared" si="21"/>
        <v>1.9890000000000001E+33</v>
      </c>
      <c r="T90" s="1">
        <f t="shared" si="22"/>
        <v>3.7950120000000002E+32</v>
      </c>
      <c r="U90" s="8">
        <f t="shared" si="14"/>
        <v>5.3396513545566914E-14</v>
      </c>
      <c r="V90" s="11">
        <f t="shared" si="15"/>
        <v>2.1684693895017948E+54</v>
      </c>
      <c r="W90" s="1">
        <f t="shared" si="16"/>
        <v>1.0478366574312118E+55</v>
      </c>
      <c r="X90">
        <f t="shared" si="23"/>
        <v>54.336153295950176</v>
      </c>
      <c r="Y90">
        <f t="shared" si="24"/>
        <v>55.020293587700031</v>
      </c>
      <c r="AA90" s="10">
        <f t="shared" si="25"/>
        <v>3.7287477130096831</v>
      </c>
    </row>
    <row r="91" spans="1:27" x14ac:dyDescent="0.25">
      <c r="A91" s="2">
        <v>1</v>
      </c>
      <c r="B91" s="2">
        <v>6.5791230000000001</v>
      </c>
      <c r="C91" s="6">
        <v>3.6352826379982122</v>
      </c>
      <c r="D91" s="2">
        <v>-0.11899999999999999</v>
      </c>
      <c r="E91" s="2">
        <v>4051</v>
      </c>
      <c r="F91" s="2">
        <v>1.56</v>
      </c>
      <c r="G91" s="2">
        <v>-0.1018</v>
      </c>
      <c r="H91" s="2">
        <v>6.6769999999999996</v>
      </c>
      <c r="I91" s="2">
        <v>0.377</v>
      </c>
      <c r="J91" s="2">
        <v>0.19819999999999999</v>
      </c>
      <c r="K91" s="2">
        <v>538.79999999999995</v>
      </c>
      <c r="L91" s="2">
        <v>0.44119999999999998</v>
      </c>
      <c r="M91" s="2">
        <v>9.4480000000000008E-2</v>
      </c>
      <c r="N91">
        <f t="shared" si="17"/>
        <v>1.56E-3</v>
      </c>
      <c r="O91" s="7">
        <f t="shared" si="13"/>
        <v>3794224.290066883</v>
      </c>
      <c r="P91" s="7">
        <f t="shared" si="18"/>
        <v>119736612456214.67</v>
      </c>
      <c r="Q91">
        <f t="shared" si="19"/>
        <v>108629040000</v>
      </c>
      <c r="R91">
        <f t="shared" si="20"/>
        <v>37518799200000</v>
      </c>
      <c r="S91" s="1">
        <f t="shared" si="21"/>
        <v>1.9890000000000001E+33</v>
      </c>
      <c r="T91" s="1">
        <f t="shared" si="22"/>
        <v>3.9421979999999996E+32</v>
      </c>
      <c r="U91" s="8">
        <f t="shared" si="14"/>
        <v>5.2475054858239153E-14</v>
      </c>
      <c r="V91" s="11">
        <f t="shared" si="15"/>
        <v>2.2175149210151538E+54</v>
      </c>
      <c r="W91" s="1">
        <f t="shared" si="16"/>
        <v>1.035528771329261E+55</v>
      </c>
      <c r="X91">
        <f t="shared" si="23"/>
        <v>54.345866550755282</v>
      </c>
      <c r="Y91">
        <f t="shared" si="24"/>
        <v>55.015162169917978</v>
      </c>
      <c r="AA91" s="10">
        <f t="shared" si="25"/>
        <v>3.7942242900668828</v>
      </c>
    </row>
    <row r="92" spans="1:27" x14ac:dyDescent="0.25">
      <c r="A92" s="2">
        <v>1</v>
      </c>
      <c r="B92" s="2">
        <v>6.5942150000000002</v>
      </c>
      <c r="C92" s="6">
        <v>3.6351820486562678</v>
      </c>
      <c r="D92" s="2">
        <v>-0.129</v>
      </c>
      <c r="E92" s="2">
        <v>4061</v>
      </c>
      <c r="F92" s="2">
        <v>1.5429999999999999</v>
      </c>
      <c r="G92" s="2">
        <v>-0.1101</v>
      </c>
      <c r="H92" s="2">
        <v>6.681</v>
      </c>
      <c r="I92" s="2">
        <v>0.39429999999999998</v>
      </c>
      <c r="J92" s="2">
        <v>0.20549999999999999</v>
      </c>
      <c r="K92" s="2">
        <v>540.20000000000005</v>
      </c>
      <c r="L92" s="2">
        <v>0.44039999999999996</v>
      </c>
      <c r="M92" s="2">
        <v>9.7420000000000007E-2</v>
      </c>
      <c r="N92">
        <f t="shared" si="17"/>
        <v>1.5429999999999999E-3</v>
      </c>
      <c r="O92" s="7">
        <f t="shared" si="13"/>
        <v>3928393.6467294372</v>
      </c>
      <c r="P92" s="7">
        <f t="shared" si="18"/>
        <v>123970675346028.89</v>
      </c>
      <c r="Q92">
        <f t="shared" si="19"/>
        <v>107445262000</v>
      </c>
      <c r="R92">
        <f t="shared" si="20"/>
        <v>37616286800000</v>
      </c>
      <c r="S92" s="1">
        <f t="shared" si="21"/>
        <v>1.9890000000000001E+33</v>
      </c>
      <c r="T92" s="1">
        <f t="shared" si="22"/>
        <v>4.0873949999999999E+32</v>
      </c>
      <c r="U92" s="8">
        <f t="shared" si="14"/>
        <v>5.0682835191805331E-14</v>
      </c>
      <c r="V92" s="11">
        <f t="shared" si="15"/>
        <v>2.2369560258325915E+54</v>
      </c>
      <c r="W92" s="1">
        <f t="shared" si="16"/>
        <v>1.0112455694689727E+55</v>
      </c>
      <c r="X92">
        <f t="shared" si="23"/>
        <v>54.349657446802951</v>
      </c>
      <c r="Y92">
        <f t="shared" si="24"/>
        <v>55.004856631866915</v>
      </c>
      <c r="AA92" s="10">
        <f t="shared" si="25"/>
        <v>3.9283936467294374</v>
      </c>
    </row>
    <row r="93" spans="1:27" x14ac:dyDescent="0.25">
      <c r="A93" s="2">
        <v>1</v>
      </c>
      <c r="B93" s="2">
        <v>6.6017200000000003</v>
      </c>
      <c r="C93" s="6">
        <v>3.6350814360108732</v>
      </c>
      <c r="D93" s="2">
        <v>-0.13400000000000001</v>
      </c>
      <c r="E93" s="2">
        <v>4065</v>
      </c>
      <c r="F93" s="2">
        <v>1.5349999999999999</v>
      </c>
      <c r="G93" s="2">
        <v>-0.11409999999999999</v>
      </c>
      <c r="H93" s="2">
        <v>6.6829999999999998</v>
      </c>
      <c r="I93" s="2">
        <v>0.40300000000000002</v>
      </c>
      <c r="J93" s="2">
        <v>0.21290000000000001</v>
      </c>
      <c r="K93" s="2">
        <v>544.70000000000005</v>
      </c>
      <c r="L93" s="2">
        <v>0.43960000000000005</v>
      </c>
      <c r="M93" s="2">
        <v>0.1004</v>
      </c>
      <c r="N93">
        <f t="shared" si="17"/>
        <v>1.5349999999999999E-3</v>
      </c>
      <c r="O93" s="7">
        <f t="shared" si="13"/>
        <v>3996869.7895624712</v>
      </c>
      <c r="P93" s="7">
        <f t="shared" si="18"/>
        <v>126131618071096.64</v>
      </c>
      <c r="Q93">
        <f t="shared" si="19"/>
        <v>106888189999.99998</v>
      </c>
      <c r="R93">
        <f t="shared" si="20"/>
        <v>37929639800000.008</v>
      </c>
      <c r="S93" s="1">
        <f t="shared" si="21"/>
        <v>1.9890000000000001E+33</v>
      </c>
      <c r="T93" s="1">
        <f t="shared" si="22"/>
        <v>4.2345810000000007E+32</v>
      </c>
      <c r="U93" s="8">
        <f t="shared" si="14"/>
        <v>4.9814514419675023E-14</v>
      </c>
      <c r="V93" s="11">
        <f t="shared" si="15"/>
        <v>2.2815392363720663E+54</v>
      </c>
      <c r="W93" s="1">
        <f t="shared" si="16"/>
        <v>9.989687732162951E+54</v>
      </c>
      <c r="X93">
        <f t="shared" si="23"/>
        <v>54.358227941876315</v>
      </c>
      <c r="Y93">
        <f t="shared" si="24"/>
        <v>54.999551912818767</v>
      </c>
      <c r="AA93" s="10">
        <f t="shared" si="25"/>
        <v>3.9968697895624712</v>
      </c>
    </row>
    <row r="94" spans="1:27" x14ac:dyDescent="0.25">
      <c r="A94" s="2">
        <v>1</v>
      </c>
      <c r="B94" s="2">
        <v>6.6091980000000001</v>
      </c>
      <c r="C94" s="6">
        <v>3.6349808000512285</v>
      </c>
      <c r="D94" s="2">
        <v>-0.13900000000000001</v>
      </c>
      <c r="E94" s="2">
        <v>4070</v>
      </c>
      <c r="F94" s="2">
        <v>1.5269999999999999</v>
      </c>
      <c r="G94" s="2">
        <v>-0.1186</v>
      </c>
      <c r="H94" s="2">
        <v>6.6840000000000002</v>
      </c>
      <c r="I94" s="2">
        <v>0.41160000000000002</v>
      </c>
      <c r="J94" s="2">
        <v>0.2203</v>
      </c>
      <c r="K94" s="2">
        <v>549.1</v>
      </c>
      <c r="L94" s="2">
        <v>0.43889999999999996</v>
      </c>
      <c r="M94" s="2">
        <v>0.10340000000000001</v>
      </c>
      <c r="N94">
        <f t="shared" si="17"/>
        <v>1.5269999999999999E-3</v>
      </c>
      <c r="O94" s="7">
        <f t="shared" si="13"/>
        <v>4066286.73741872</v>
      </c>
      <c r="P94" s="7">
        <f t="shared" si="18"/>
        <v>128322250344765</v>
      </c>
      <c r="Q94">
        <f t="shared" si="19"/>
        <v>106331118000</v>
      </c>
      <c r="R94">
        <f t="shared" si="20"/>
        <v>38236029400000</v>
      </c>
      <c r="S94" s="1">
        <f t="shared" si="21"/>
        <v>1.9890000000000001E+33</v>
      </c>
      <c r="T94" s="1">
        <f t="shared" si="22"/>
        <v>4.3817670000000001E+32</v>
      </c>
      <c r="U94" s="8">
        <f t="shared" si="14"/>
        <v>4.8964114097893963E-14</v>
      </c>
      <c r="V94" s="11">
        <f t="shared" si="15"/>
        <v>2.325284423091324E+54</v>
      </c>
      <c r="W94" s="1">
        <f t="shared" si="16"/>
        <v>9.8700902639727451E+54</v>
      </c>
      <c r="X94">
        <f t="shared" si="23"/>
        <v>54.366476082311671</v>
      </c>
      <c r="Y94">
        <f t="shared" si="24"/>
        <v>54.994321124398716</v>
      </c>
      <c r="AA94" s="10">
        <f t="shared" si="25"/>
        <v>4.0662867374187197</v>
      </c>
    </row>
    <row r="95" spans="1:27" x14ac:dyDescent="0.25">
      <c r="A95" s="2">
        <v>1</v>
      </c>
      <c r="B95" s="2">
        <v>6.6240740000000002</v>
      </c>
      <c r="C95" s="6">
        <v>3.6348801407665263</v>
      </c>
      <c r="D95" s="2">
        <v>-0.14799999999999999</v>
      </c>
      <c r="E95" s="2">
        <v>4079</v>
      </c>
      <c r="F95" s="2">
        <v>1.5109999999999999</v>
      </c>
      <c r="G95" s="2">
        <v>-0.1278</v>
      </c>
      <c r="H95" s="2">
        <v>6.6879999999999997</v>
      </c>
      <c r="I95" s="2">
        <v>0.42899999999999999</v>
      </c>
      <c r="J95" s="2">
        <v>0.2276</v>
      </c>
      <c r="K95" s="2">
        <v>550</v>
      </c>
      <c r="L95" s="2">
        <v>0.438</v>
      </c>
      <c r="M95" s="2">
        <v>0.10629999999999999</v>
      </c>
      <c r="N95">
        <f t="shared" si="17"/>
        <v>1.511E-3</v>
      </c>
      <c r="O95" s="7">
        <f t="shared" si="13"/>
        <v>4207983.2264815373</v>
      </c>
      <c r="P95" s="7">
        <f t="shared" si="18"/>
        <v>132793851468013.77</v>
      </c>
      <c r="Q95">
        <f t="shared" si="19"/>
        <v>105216973999.99998</v>
      </c>
      <c r="R95">
        <f t="shared" si="20"/>
        <v>38298700000000</v>
      </c>
      <c r="S95" s="1">
        <f t="shared" si="21"/>
        <v>1.9890000000000001E+33</v>
      </c>
      <c r="T95" s="1">
        <f t="shared" si="22"/>
        <v>4.5269639999999997E+32</v>
      </c>
      <c r="U95" s="8">
        <f t="shared" si="14"/>
        <v>4.7315333034775527E-14</v>
      </c>
      <c r="V95" s="11">
        <f t="shared" si="15"/>
        <v>2.3406671637619688E+54</v>
      </c>
      <c r="W95" s="1">
        <f t="shared" si="16"/>
        <v>9.6445175703456467E+54</v>
      </c>
      <c r="X95">
        <f t="shared" si="23"/>
        <v>54.369339662642247</v>
      </c>
      <c r="Y95">
        <f t="shared" si="24"/>
        <v>54.984280508623051</v>
      </c>
      <c r="AA95" s="10">
        <f t="shared" si="25"/>
        <v>4.2079832264815371</v>
      </c>
    </row>
    <row r="96" spans="1:27" x14ac:dyDescent="0.25">
      <c r="A96" s="2">
        <v>1</v>
      </c>
      <c r="B96" s="2">
        <v>6.6314710000000003</v>
      </c>
      <c r="C96" s="6">
        <v>3.6348801407665263</v>
      </c>
      <c r="D96" s="2">
        <v>-0.153</v>
      </c>
      <c r="E96" s="2">
        <v>4084</v>
      </c>
      <c r="F96" s="2">
        <v>1.5029999999999999</v>
      </c>
      <c r="G96" s="2">
        <v>-0.13250000000000001</v>
      </c>
      <c r="H96" s="2">
        <v>6.69</v>
      </c>
      <c r="I96" s="2">
        <v>0.43759999999999999</v>
      </c>
      <c r="J96" s="2">
        <v>0.23499999999999999</v>
      </c>
      <c r="K96" s="2">
        <v>554</v>
      </c>
      <c r="L96" s="2">
        <v>0.43710000000000004</v>
      </c>
      <c r="M96" s="2">
        <v>0.10920000000000001</v>
      </c>
      <c r="N96">
        <f t="shared" si="17"/>
        <v>1.503E-3</v>
      </c>
      <c r="O96" s="7">
        <f t="shared" si="13"/>
        <v>4280268.3715369599</v>
      </c>
      <c r="P96" s="7">
        <f t="shared" si="18"/>
        <v>135074997161614.77</v>
      </c>
      <c r="Q96">
        <f t="shared" si="19"/>
        <v>104659901999.99998</v>
      </c>
      <c r="R96">
        <f t="shared" si="20"/>
        <v>38577236000000</v>
      </c>
      <c r="S96" s="1">
        <f t="shared" si="21"/>
        <v>1.9890000000000001E+33</v>
      </c>
      <c r="T96" s="1">
        <f t="shared" si="22"/>
        <v>4.6741499999999998E+32</v>
      </c>
      <c r="U96" s="8">
        <f t="shared" si="14"/>
        <v>4.651627199119516E-14</v>
      </c>
      <c r="V96" s="11">
        <f t="shared" si="15"/>
        <v>2.3791294283861897E+54</v>
      </c>
      <c r="W96" s="1">
        <f t="shared" si="16"/>
        <v>9.5230537834029632E+54</v>
      </c>
      <c r="X96">
        <f t="shared" si="23"/>
        <v>54.376418068983433</v>
      </c>
      <c r="Y96">
        <f t="shared" si="24"/>
        <v>54.97877623710437</v>
      </c>
      <c r="AA96" s="10">
        <f t="shared" si="25"/>
        <v>4.2802683715369598</v>
      </c>
    </row>
    <row r="97" spans="1:27" x14ac:dyDescent="0.25">
      <c r="A97" s="2">
        <v>1</v>
      </c>
      <c r="B97" s="2">
        <v>6.646185</v>
      </c>
      <c r="C97" s="6">
        <v>3.6347794581459518</v>
      </c>
      <c r="D97" s="2">
        <v>-0.16200000000000001</v>
      </c>
      <c r="E97" s="2">
        <v>4093</v>
      </c>
      <c r="F97" s="2">
        <v>1.4870000000000001</v>
      </c>
      <c r="G97" s="2">
        <v>-0.14149999999999999</v>
      </c>
      <c r="H97" s="2">
        <v>6.694</v>
      </c>
      <c r="I97" s="2">
        <v>0.45490000000000003</v>
      </c>
      <c r="J97" s="2">
        <v>0.24979999999999999</v>
      </c>
      <c r="K97" s="2">
        <v>561.6</v>
      </c>
      <c r="L97" s="2">
        <v>0.43539999999999995</v>
      </c>
      <c r="M97" s="2">
        <v>0.11509999999999999</v>
      </c>
      <c r="N97">
        <f t="shared" si="17"/>
        <v>1.487E-3</v>
      </c>
      <c r="O97" s="7">
        <f t="shared" si="13"/>
        <v>4427769.4554068977</v>
      </c>
      <c r="P97" s="7">
        <f t="shared" si="18"/>
        <v>139729777365948.72</v>
      </c>
      <c r="Q97">
        <f t="shared" si="19"/>
        <v>103545758000.00002</v>
      </c>
      <c r="R97">
        <f t="shared" si="20"/>
        <v>39106454400000</v>
      </c>
      <c r="S97" s="1">
        <f t="shared" si="21"/>
        <v>1.9890000000000001E+33</v>
      </c>
      <c r="T97" s="1">
        <f t="shared" si="22"/>
        <v>4.968522E+32</v>
      </c>
      <c r="U97" s="8">
        <f t="shared" si="14"/>
        <v>4.4966688029023941E-14</v>
      </c>
      <c r="V97" s="11">
        <f t="shared" si="15"/>
        <v>2.4545660899965692E+54</v>
      </c>
      <c r="W97" s="1">
        <f t="shared" si="16"/>
        <v>9.2851266340964919E+54</v>
      </c>
      <c r="X97">
        <f t="shared" si="23"/>
        <v>54.389974730114602</v>
      </c>
      <c r="Y97">
        <f t="shared" si="24"/>
        <v>54.967787831189888</v>
      </c>
      <c r="AA97" s="10">
        <f t="shared" si="25"/>
        <v>4.4277694554068976</v>
      </c>
    </row>
    <row r="98" spans="1:27" x14ac:dyDescent="0.25">
      <c r="A98" s="2">
        <v>1</v>
      </c>
      <c r="B98" s="2">
        <v>6.6535010000000003</v>
      </c>
      <c r="C98" s="6">
        <v>3.6346787521786821</v>
      </c>
      <c r="D98" s="2">
        <v>-0.16700000000000001</v>
      </c>
      <c r="E98" s="2">
        <v>4097</v>
      </c>
      <c r="F98" s="2">
        <v>1.48</v>
      </c>
      <c r="G98" s="2">
        <v>-0.14630000000000001</v>
      </c>
      <c r="H98" s="2">
        <v>6.6950000000000003</v>
      </c>
      <c r="I98" s="2">
        <v>0.46360000000000001</v>
      </c>
      <c r="J98" s="2">
        <v>0.2571</v>
      </c>
      <c r="K98" s="2">
        <v>565.20000000000005</v>
      </c>
      <c r="L98" s="2">
        <v>0.4345</v>
      </c>
      <c r="M98" s="2">
        <v>0.11799999999999999</v>
      </c>
      <c r="N98">
        <f t="shared" si="17"/>
        <v>1.48E-3</v>
      </c>
      <c r="O98" s="7">
        <f t="shared" si="13"/>
        <v>4502990.1813870249</v>
      </c>
      <c r="P98" s="7">
        <f t="shared" si="18"/>
        <v>142103562948139.19</v>
      </c>
      <c r="Q98">
        <f t="shared" si="19"/>
        <v>103058320000</v>
      </c>
      <c r="R98">
        <f t="shared" si="20"/>
        <v>39357136800000</v>
      </c>
      <c r="S98" s="1">
        <f t="shared" si="21"/>
        <v>1.9890000000000001E+33</v>
      </c>
      <c r="T98" s="1">
        <f t="shared" si="22"/>
        <v>5.1137189999999996E+32</v>
      </c>
      <c r="U98" s="8">
        <f t="shared" si="14"/>
        <v>4.4215536731282663E-14</v>
      </c>
      <c r="V98" s="11">
        <f t="shared" si="15"/>
        <v>2.4927740073255395E+54</v>
      </c>
      <c r="W98" s="1">
        <f t="shared" si="16"/>
        <v>9.1789008998554826E+54</v>
      </c>
      <c r="X98">
        <f t="shared" si="23"/>
        <v>54.396682907536942</v>
      </c>
      <c r="Y98">
        <f t="shared" si="24"/>
        <v>54.962790681015498</v>
      </c>
      <c r="AA98" s="10">
        <f t="shared" si="25"/>
        <v>4.502990181387025</v>
      </c>
    </row>
    <row r="99" spans="1:27" x14ac:dyDescent="0.25">
      <c r="A99" s="2">
        <v>1</v>
      </c>
      <c r="B99" s="2">
        <v>6.6607900000000004</v>
      </c>
      <c r="C99" s="6">
        <v>3.6346787521786821</v>
      </c>
      <c r="D99" s="2">
        <v>-0.17199999999999999</v>
      </c>
      <c r="E99" s="2">
        <v>4101</v>
      </c>
      <c r="F99" s="2">
        <v>1.472</v>
      </c>
      <c r="G99" s="2">
        <v>-0.1512</v>
      </c>
      <c r="H99" s="2">
        <v>6.6970000000000001</v>
      </c>
      <c r="I99" s="2">
        <v>0.47220000000000001</v>
      </c>
      <c r="J99" s="2">
        <v>0.2571</v>
      </c>
      <c r="K99" s="2">
        <v>561.9</v>
      </c>
      <c r="L99" s="2">
        <v>0.43439999999999995</v>
      </c>
      <c r="M99" s="2">
        <v>0.1179</v>
      </c>
      <c r="N99">
        <f t="shared" si="17"/>
        <v>1.472E-3</v>
      </c>
      <c r="O99" s="7">
        <f t="shared" si="13"/>
        <v>4579204.090232756</v>
      </c>
      <c r="P99" s="7">
        <f t="shared" si="18"/>
        <v>144508690997929.22</v>
      </c>
      <c r="Q99">
        <f t="shared" si="19"/>
        <v>102501248000</v>
      </c>
      <c r="R99">
        <f t="shared" si="20"/>
        <v>39127344600000</v>
      </c>
      <c r="S99" s="1">
        <f t="shared" si="21"/>
        <v>1.9890000000000001E+33</v>
      </c>
      <c r="T99" s="1">
        <f t="shared" si="22"/>
        <v>5.1137189999999996E+32</v>
      </c>
      <c r="U99" s="8">
        <f t="shared" si="14"/>
        <v>4.3479636164371757E-14</v>
      </c>
      <c r="V99" s="11">
        <f t="shared" si="15"/>
        <v>2.4638081900133435E+54</v>
      </c>
      <c r="W99" s="1">
        <f t="shared" si="16"/>
        <v>9.0778479876318594E+54</v>
      </c>
      <c r="X99">
        <f t="shared" si="23"/>
        <v>54.391606894538953</v>
      </c>
      <c r="Y99">
        <f t="shared" si="24"/>
        <v>54.957982906024654</v>
      </c>
      <c r="AA99" s="10">
        <f t="shared" si="25"/>
        <v>4.5792040902327562</v>
      </c>
    </row>
    <row r="100" spans="1:27" x14ac:dyDescent="0.25">
      <c r="A100" s="2">
        <v>1</v>
      </c>
      <c r="B100" s="2">
        <v>6.675287</v>
      </c>
      <c r="C100" s="6">
        <v>3.634578022853888</v>
      </c>
      <c r="D100" s="2">
        <v>-0.18099999999999999</v>
      </c>
      <c r="E100" s="2">
        <v>4110</v>
      </c>
      <c r="F100" s="2">
        <v>1.458</v>
      </c>
      <c r="G100" s="2">
        <v>-0.1618</v>
      </c>
      <c r="H100" s="2">
        <v>6.7</v>
      </c>
      <c r="I100" s="2">
        <v>0.48959999999999998</v>
      </c>
      <c r="J100" s="2">
        <v>0.27189999999999998</v>
      </c>
      <c r="K100" s="2">
        <v>568.70000000000005</v>
      </c>
      <c r="L100" s="2">
        <v>0.4325</v>
      </c>
      <c r="M100" s="2">
        <v>0.12359999999999999</v>
      </c>
      <c r="N100">
        <f t="shared" si="17"/>
        <v>1.4579999999999999E-3</v>
      </c>
      <c r="O100" s="7">
        <f t="shared" si="13"/>
        <v>4734640.4048689259</v>
      </c>
      <c r="P100" s="7">
        <f t="shared" si="18"/>
        <v>149413888040691.63</v>
      </c>
      <c r="Q100">
        <f t="shared" si="19"/>
        <v>101526371999.99998</v>
      </c>
      <c r="R100">
        <f t="shared" si="20"/>
        <v>39600855800000.008</v>
      </c>
      <c r="S100" s="1">
        <f t="shared" si="21"/>
        <v>1.9890000000000001E+33</v>
      </c>
      <c r="T100" s="1">
        <f t="shared" si="22"/>
        <v>5.408090999999999E+32</v>
      </c>
      <c r="U100" s="8">
        <f t="shared" si="14"/>
        <v>4.2052217431544338E-14</v>
      </c>
      <c r="V100" s="11">
        <f t="shared" si="15"/>
        <v>2.5340255423925133E+54</v>
      </c>
      <c r="W100" s="1">
        <f t="shared" si="16"/>
        <v>8.8670392158961332E+54</v>
      </c>
      <c r="X100">
        <f t="shared" si="23"/>
        <v>54.403810988157609</v>
      </c>
      <c r="Y100">
        <f t="shared" si="24"/>
        <v>54.947778629205644</v>
      </c>
      <c r="AA100" s="10">
        <f t="shared" si="25"/>
        <v>4.7346404048689257</v>
      </c>
    </row>
    <row r="101" spans="1:27" x14ac:dyDescent="0.25">
      <c r="A101" s="2">
        <v>1</v>
      </c>
      <c r="B101" s="2">
        <v>6.6824950000000003</v>
      </c>
      <c r="C101" s="6">
        <v>3.6344772701607315</v>
      </c>
      <c r="D101" s="2">
        <v>-0.185</v>
      </c>
      <c r="E101" s="2">
        <v>4114</v>
      </c>
      <c r="F101" s="2">
        <v>1.4510000000000001</v>
      </c>
      <c r="G101" s="2">
        <v>-0.16619999999999999</v>
      </c>
      <c r="H101" s="2">
        <v>6.702</v>
      </c>
      <c r="I101" s="2">
        <v>0.49819999999999998</v>
      </c>
      <c r="J101" s="2">
        <v>0.2792</v>
      </c>
      <c r="K101" s="2">
        <v>572</v>
      </c>
      <c r="L101" s="2">
        <v>0.43149999999999999</v>
      </c>
      <c r="M101" s="2">
        <v>0.1265</v>
      </c>
      <c r="N101">
        <f t="shared" si="17"/>
        <v>1.451E-3</v>
      </c>
      <c r="O101" s="7">
        <f t="shared" si="13"/>
        <v>4813877.1178739676</v>
      </c>
      <c r="P101" s="7">
        <f t="shared" si="18"/>
        <v>151914408535019.53</v>
      </c>
      <c r="Q101">
        <f t="shared" si="19"/>
        <v>101038934000</v>
      </c>
      <c r="R101">
        <f t="shared" si="20"/>
        <v>39830648000000</v>
      </c>
      <c r="S101" s="1">
        <f t="shared" si="21"/>
        <v>1.9890000000000001E+33</v>
      </c>
      <c r="T101" s="1">
        <f t="shared" si="22"/>
        <v>5.5532880000000001E+32</v>
      </c>
      <c r="U101" s="8">
        <f t="shared" si="14"/>
        <v>4.1360035349979176E-14</v>
      </c>
      <c r="V101" s="11">
        <f t="shared" si="15"/>
        <v>2.5686375072208222E+54</v>
      </c>
      <c r="W101" s="1">
        <f t="shared" si="16"/>
        <v>8.761795133326361E+54</v>
      </c>
      <c r="X101">
        <f t="shared" si="23"/>
        <v>54.409702819828212</v>
      </c>
      <c r="Y101">
        <f t="shared" si="24"/>
        <v>54.942593094367602</v>
      </c>
      <c r="AA101" s="10">
        <f t="shared" si="25"/>
        <v>4.8138771178739672</v>
      </c>
    </row>
    <row r="102" spans="1:27" x14ac:dyDescent="0.25">
      <c r="A102" s="2">
        <v>1</v>
      </c>
      <c r="B102" s="2">
        <v>6.6896760000000004</v>
      </c>
      <c r="C102" s="6">
        <v>3.6344772701607315</v>
      </c>
      <c r="D102" s="2">
        <v>-0.19</v>
      </c>
      <c r="E102" s="2">
        <v>4119</v>
      </c>
      <c r="F102" s="2">
        <v>1.4430000000000001</v>
      </c>
      <c r="G102" s="2">
        <v>-0.17130000000000001</v>
      </c>
      <c r="H102" s="2">
        <v>6.7039999999999997</v>
      </c>
      <c r="I102" s="2">
        <v>0.50690000000000002</v>
      </c>
      <c r="J102" s="2">
        <v>0.28439999999999999</v>
      </c>
      <c r="K102" s="2">
        <v>573.20000000000005</v>
      </c>
      <c r="L102" s="2">
        <v>0.43080000000000002</v>
      </c>
      <c r="M102" s="2">
        <v>0.1285</v>
      </c>
      <c r="N102">
        <f t="shared" si="17"/>
        <v>1.4430000000000001E-3</v>
      </c>
      <c r="O102" s="7">
        <f t="shared" si="13"/>
        <v>4894135.622328585</v>
      </c>
      <c r="P102" s="7">
        <f t="shared" si="18"/>
        <v>154447174315196.56</v>
      </c>
      <c r="Q102">
        <f t="shared" si="19"/>
        <v>100481862000</v>
      </c>
      <c r="R102">
        <f t="shared" si="20"/>
        <v>39914208800000</v>
      </c>
      <c r="S102" s="1">
        <f t="shared" si="21"/>
        <v>1.9890000000000001E+33</v>
      </c>
      <c r="T102" s="1">
        <f t="shared" si="22"/>
        <v>5.6567160000000005E+32</v>
      </c>
      <c r="U102" s="8">
        <f t="shared" si="14"/>
        <v>4.0681775727128746E-14</v>
      </c>
      <c r="V102" s="11">
        <f t="shared" si="15"/>
        <v>2.5805558292943101E+54</v>
      </c>
      <c r="W102" s="1">
        <f t="shared" si="16"/>
        <v>8.6513887257586679E+54</v>
      </c>
      <c r="X102">
        <f t="shared" si="23"/>
        <v>54.411713259295205</v>
      </c>
      <c r="Y102">
        <f t="shared" si="24"/>
        <v>54.937085826253835</v>
      </c>
      <c r="AA102" s="10">
        <f t="shared" si="25"/>
        <v>4.8941356223285855</v>
      </c>
    </row>
    <row r="103" spans="1:27" x14ac:dyDescent="0.25">
      <c r="A103" s="2">
        <v>1</v>
      </c>
      <c r="B103" s="2">
        <v>6.7039580000000001</v>
      </c>
      <c r="C103" s="6">
        <v>3.6344772701607315</v>
      </c>
      <c r="D103" s="2">
        <v>-0.19800000000000001</v>
      </c>
      <c r="E103" s="2">
        <v>4127</v>
      </c>
      <c r="F103" s="2">
        <v>1.429</v>
      </c>
      <c r="G103" s="2">
        <v>-0.18179999999999999</v>
      </c>
      <c r="H103" s="2">
        <v>6.7069999999999999</v>
      </c>
      <c r="I103" s="2">
        <v>0.5242</v>
      </c>
      <c r="J103" s="2">
        <v>0.29480000000000001</v>
      </c>
      <c r="K103" s="2">
        <v>575.5</v>
      </c>
      <c r="L103" s="2">
        <v>0.42919999999999997</v>
      </c>
      <c r="M103" s="2">
        <v>0.13240000000000002</v>
      </c>
      <c r="N103">
        <f t="shared" si="17"/>
        <v>1.4290000000000001E-3</v>
      </c>
      <c r="O103" s="7">
        <f t="shared" si="13"/>
        <v>5057757.4678670503</v>
      </c>
      <c r="P103" s="7">
        <f t="shared" si="18"/>
        <v>159610687067961.22</v>
      </c>
      <c r="Q103">
        <f t="shared" si="19"/>
        <v>99506986000.000015</v>
      </c>
      <c r="R103">
        <f t="shared" si="20"/>
        <v>40074367000000</v>
      </c>
      <c r="S103" s="1">
        <f t="shared" si="21"/>
        <v>1.9890000000000001E+33</v>
      </c>
      <c r="T103" s="1">
        <f t="shared" si="22"/>
        <v>5.863572E+32</v>
      </c>
      <c r="U103" s="8">
        <f t="shared" si="14"/>
        <v>3.9365693003403E-14</v>
      </c>
      <c r="V103" s="11">
        <f t="shared" si="15"/>
        <v>2.6075335927118044E+54</v>
      </c>
      <c r="W103" s="1">
        <f t="shared" si="16"/>
        <v>8.4528203775823734E+54</v>
      </c>
      <c r="X103">
        <f t="shared" si="23"/>
        <v>54.416229912126525</v>
      </c>
      <c r="Y103">
        <f t="shared" si="24"/>
        <v>54.927001640316753</v>
      </c>
      <c r="AA103" s="10">
        <f t="shared" si="25"/>
        <v>5.0577574678670505</v>
      </c>
    </row>
    <row r="104" spans="1:27" x14ac:dyDescent="0.25">
      <c r="A104" s="2">
        <v>1</v>
      </c>
      <c r="B104" s="2">
        <v>6.7110580000000004</v>
      </c>
      <c r="C104" s="6">
        <v>3.6343764940883676</v>
      </c>
      <c r="D104" s="2">
        <v>-0.20200000000000001</v>
      </c>
      <c r="E104" s="2">
        <v>4131</v>
      </c>
      <c r="F104" s="2">
        <v>1.4219999999999999</v>
      </c>
      <c r="G104" s="2">
        <v>-0.18709999999999999</v>
      </c>
      <c r="H104" s="2">
        <v>6.7089999999999996</v>
      </c>
      <c r="I104" s="2">
        <v>0.53290000000000004</v>
      </c>
      <c r="J104" s="2">
        <v>0.30459999999999998</v>
      </c>
      <c r="K104" s="2">
        <v>580.6</v>
      </c>
      <c r="L104" s="2">
        <v>0.42780000000000001</v>
      </c>
      <c r="M104" s="2">
        <v>0.13619999999999999</v>
      </c>
      <c r="N104">
        <f t="shared" si="17"/>
        <v>1.4219999999999999E-3</v>
      </c>
      <c r="O104" s="7">
        <f t="shared" si="13"/>
        <v>5141123.066632241</v>
      </c>
      <c r="P104" s="7">
        <f t="shared" si="18"/>
        <v>162241505287553.59</v>
      </c>
      <c r="Q104">
        <f t="shared" si="19"/>
        <v>99019548000</v>
      </c>
      <c r="R104">
        <f t="shared" si="20"/>
        <v>40429500400000</v>
      </c>
      <c r="S104" s="1">
        <f t="shared" si="21"/>
        <v>1.9890000000000001E+33</v>
      </c>
      <c r="T104" s="1">
        <f t="shared" si="22"/>
        <v>6.0584939999999993E+32</v>
      </c>
      <c r="U104" s="8">
        <f t="shared" si="14"/>
        <v>3.8727360770250463E-14</v>
      </c>
      <c r="V104" s="11">
        <f t="shared" si="15"/>
        <v>2.6561571718186691E+54</v>
      </c>
      <c r="W104" s="1">
        <f t="shared" si="16"/>
        <v>8.3429077687520305E+54</v>
      </c>
      <c r="X104">
        <f t="shared" si="23"/>
        <v>54.424253769805162</v>
      </c>
      <c r="Y104">
        <f t="shared" si="24"/>
        <v>54.921317442463909</v>
      </c>
      <c r="AA104" s="10">
        <f t="shared" si="25"/>
        <v>5.1411230666322414</v>
      </c>
    </row>
    <row r="105" spans="1:27" x14ac:dyDescent="0.25">
      <c r="A105" s="2">
        <v>1</v>
      </c>
      <c r="B105" s="2">
        <v>6.7251750000000001</v>
      </c>
      <c r="C105" s="6">
        <v>3.6343764940883676</v>
      </c>
      <c r="D105" s="2">
        <v>-0.21099999999999999</v>
      </c>
      <c r="E105" s="2">
        <v>4140</v>
      </c>
      <c r="F105" s="2">
        <v>1.409</v>
      </c>
      <c r="G105" s="2">
        <v>-0.19789999999999999</v>
      </c>
      <c r="H105" s="2">
        <v>6.7130000000000001</v>
      </c>
      <c r="I105" s="2">
        <v>0.55020000000000002</v>
      </c>
      <c r="J105" s="2">
        <v>0.31440000000000001</v>
      </c>
      <c r="K105" s="2">
        <v>582.1</v>
      </c>
      <c r="L105" s="2">
        <v>0.42630000000000001</v>
      </c>
      <c r="M105" s="2">
        <v>0.1399</v>
      </c>
      <c r="N105">
        <f t="shared" si="17"/>
        <v>1.4090000000000001E-3</v>
      </c>
      <c r="O105" s="7">
        <f t="shared" si="13"/>
        <v>5310984.0849309284</v>
      </c>
      <c r="P105" s="7">
        <f t="shared" si="18"/>
        <v>167601911358616.28</v>
      </c>
      <c r="Q105">
        <f t="shared" si="19"/>
        <v>98114306000</v>
      </c>
      <c r="R105">
        <f t="shared" si="20"/>
        <v>40533951400000</v>
      </c>
      <c r="S105" s="1">
        <f t="shared" si="21"/>
        <v>1.9890000000000001E+33</v>
      </c>
      <c r="T105" s="1">
        <f t="shared" si="22"/>
        <v>6.2534160000000001E+32</v>
      </c>
      <c r="U105" s="8">
        <f t="shared" si="14"/>
        <v>3.7488744944772806E-14</v>
      </c>
      <c r="V105" s="11">
        <f t="shared" si="15"/>
        <v>2.6786573951271653E+54</v>
      </c>
      <c r="W105" s="1">
        <f t="shared" si="16"/>
        <v>8.1623420124568304E+54</v>
      </c>
      <c r="X105">
        <f t="shared" si="23"/>
        <v>54.427917170151446</v>
      </c>
      <c r="Y105">
        <f t="shared" si="24"/>
        <v>54.911814788306749</v>
      </c>
      <c r="AA105" s="10">
        <f t="shared" si="25"/>
        <v>5.3109840849309284</v>
      </c>
    </row>
    <row r="106" spans="1:27" x14ac:dyDescent="0.25">
      <c r="A106" s="2">
        <v>1</v>
      </c>
      <c r="B106" s="2">
        <v>6.7321910000000003</v>
      </c>
      <c r="C106" s="6">
        <v>3.6343764940883676</v>
      </c>
      <c r="D106" s="2">
        <v>-0.215</v>
      </c>
      <c r="E106" s="2">
        <v>4144</v>
      </c>
      <c r="F106" s="2">
        <v>1.4019999999999999</v>
      </c>
      <c r="G106" s="2">
        <v>-0.2034</v>
      </c>
      <c r="H106" s="2">
        <v>6.7140000000000004</v>
      </c>
      <c r="I106" s="2">
        <v>0.55889999999999995</v>
      </c>
      <c r="J106" s="2">
        <v>0.31440000000000001</v>
      </c>
      <c r="K106" s="2">
        <v>578.70000000000005</v>
      </c>
      <c r="L106" s="2">
        <v>0.42610000000000003</v>
      </c>
      <c r="M106" s="2">
        <v>0.1396</v>
      </c>
      <c r="N106">
        <f t="shared" si="17"/>
        <v>1.4019999999999998E-3</v>
      </c>
      <c r="O106" s="7">
        <f t="shared" si="13"/>
        <v>5397479.4809978921</v>
      </c>
      <c r="P106" s="7">
        <f t="shared" si="18"/>
        <v>170331498469539.09</v>
      </c>
      <c r="Q106">
        <f t="shared" si="19"/>
        <v>97626867999.999985</v>
      </c>
      <c r="R106">
        <f t="shared" si="20"/>
        <v>40297195800000.008</v>
      </c>
      <c r="S106" s="1">
        <f t="shared" si="21"/>
        <v>1.9890000000000001E+33</v>
      </c>
      <c r="T106" s="1">
        <f t="shared" si="22"/>
        <v>6.2534160000000001E+32</v>
      </c>
      <c r="U106" s="8">
        <f t="shared" si="14"/>
        <v>3.6887982338177032E-14</v>
      </c>
      <c r="V106" s="11">
        <f t="shared" si="15"/>
        <v>2.6464208834287569E+54</v>
      </c>
      <c r="W106" s="1">
        <f t="shared" si="16"/>
        <v>8.0776499887463712E+54</v>
      </c>
      <c r="X106">
        <f t="shared" si="23"/>
        <v>54.422658914989327</v>
      </c>
      <c r="Y106">
        <f t="shared" si="24"/>
        <v>54.907285030902635</v>
      </c>
      <c r="AA106" s="10">
        <f t="shared" si="25"/>
        <v>5.3974794809978919</v>
      </c>
    </row>
    <row r="107" spans="1:27" x14ac:dyDescent="0.25">
      <c r="A107" s="2">
        <v>1</v>
      </c>
      <c r="B107" s="2">
        <v>6.7391800000000002</v>
      </c>
      <c r="C107" s="6">
        <v>3.6343764940883676</v>
      </c>
      <c r="D107" s="2">
        <v>-0.219</v>
      </c>
      <c r="E107" s="2">
        <v>4148</v>
      </c>
      <c r="F107" s="2">
        <v>1.3959999999999999</v>
      </c>
      <c r="G107" s="2">
        <v>-0.20899999999999999</v>
      </c>
      <c r="H107" s="2">
        <v>6.7160000000000002</v>
      </c>
      <c r="I107" s="2">
        <v>0.5675</v>
      </c>
      <c r="J107" s="2">
        <v>0.32429999999999998</v>
      </c>
      <c r="K107" s="2">
        <v>583.5</v>
      </c>
      <c r="L107" s="2">
        <v>0.42469999999999997</v>
      </c>
      <c r="M107" s="2">
        <v>0.1434</v>
      </c>
      <c r="N107">
        <f t="shared" si="17"/>
        <v>1.3959999999999999E-3</v>
      </c>
      <c r="O107" s="7">
        <f t="shared" si="13"/>
        <v>5485042.5380520774</v>
      </c>
      <c r="P107" s="7">
        <f t="shared" si="18"/>
        <v>173094778398832.25</v>
      </c>
      <c r="Q107">
        <f t="shared" si="19"/>
        <v>97209063999.999985</v>
      </c>
      <c r="R107">
        <f t="shared" si="20"/>
        <v>40631439000000</v>
      </c>
      <c r="S107" s="1">
        <f t="shared" si="21"/>
        <v>1.9890000000000001E+33</v>
      </c>
      <c r="T107" s="1">
        <f t="shared" si="22"/>
        <v>6.4503269999999999E+32</v>
      </c>
      <c r="U107" s="8">
        <f t="shared" si="14"/>
        <v>3.6299103677768563E-14</v>
      </c>
      <c r="V107" s="11">
        <f t="shared" si="15"/>
        <v>2.6952400867032347E+54</v>
      </c>
      <c r="W107" s="1">
        <f t="shared" si="16"/>
        <v>7.9823463376768737E+54</v>
      </c>
      <c r="X107">
        <f t="shared" si="23"/>
        <v>54.43059745734697</v>
      </c>
      <c r="Y107">
        <f t="shared" si="24"/>
        <v>54.902130567005862</v>
      </c>
      <c r="AA107" s="10">
        <f t="shared" si="25"/>
        <v>5.4850425380520775</v>
      </c>
    </row>
    <row r="108" spans="1:27" x14ac:dyDescent="0.25">
      <c r="A108" s="2">
        <v>1</v>
      </c>
      <c r="B108" s="2">
        <v>6.7530710000000003</v>
      </c>
      <c r="C108" s="6">
        <v>3.6343764940883676</v>
      </c>
      <c r="D108" s="2">
        <v>-0.22700000000000001</v>
      </c>
      <c r="E108" s="2">
        <v>4156</v>
      </c>
      <c r="F108" s="2">
        <v>1.383</v>
      </c>
      <c r="G108" s="2">
        <v>-0.21970000000000001</v>
      </c>
      <c r="H108" s="2">
        <v>6.7190000000000003</v>
      </c>
      <c r="I108" s="2">
        <v>0.58489999999999998</v>
      </c>
      <c r="J108" s="2">
        <v>0.33410000000000001</v>
      </c>
      <c r="K108" s="2">
        <v>584.70000000000005</v>
      </c>
      <c r="L108" s="2">
        <v>0.42299999999999999</v>
      </c>
      <c r="M108" s="2">
        <v>0.14699999999999999</v>
      </c>
      <c r="N108">
        <f t="shared" si="17"/>
        <v>1.3830000000000001E-3</v>
      </c>
      <c r="O108" s="7">
        <f t="shared" si="13"/>
        <v>5663318.6740993522</v>
      </c>
      <c r="P108" s="7">
        <f t="shared" si="18"/>
        <v>178720745389757.72</v>
      </c>
      <c r="Q108">
        <f t="shared" si="19"/>
        <v>96303822000</v>
      </c>
      <c r="R108">
        <f t="shared" si="20"/>
        <v>40714999800000.008</v>
      </c>
      <c r="S108" s="1">
        <f t="shared" si="21"/>
        <v>1.9890000000000001E+33</v>
      </c>
      <c r="T108" s="1">
        <f t="shared" si="22"/>
        <v>6.6452490000000007E+32</v>
      </c>
      <c r="U108" s="8">
        <f t="shared" si="14"/>
        <v>3.5156440812045025E-14</v>
      </c>
      <c r="V108" s="11">
        <f t="shared" si="15"/>
        <v>2.711684535696326E+54</v>
      </c>
      <c r="W108" s="1">
        <f t="shared" si="16"/>
        <v>7.8030106027179992E+54</v>
      </c>
      <c r="X108">
        <f t="shared" si="23"/>
        <v>54.433239164407702</v>
      </c>
      <c r="Y108">
        <f t="shared" si="24"/>
        <v>54.892262197034569</v>
      </c>
      <c r="AA108" s="10">
        <f t="shared" si="25"/>
        <v>5.6633186740993526</v>
      </c>
    </row>
    <row r="109" spans="1:27" x14ac:dyDescent="0.25">
      <c r="A109" s="2">
        <v>1</v>
      </c>
      <c r="B109" s="2">
        <v>6.7599739999999997</v>
      </c>
      <c r="C109" s="6">
        <v>3.6343764940883676</v>
      </c>
      <c r="D109" s="2">
        <v>-0.23100000000000001</v>
      </c>
      <c r="E109" s="2">
        <v>4160</v>
      </c>
      <c r="F109" s="2">
        <v>1.377</v>
      </c>
      <c r="G109" s="2">
        <v>-0.22550000000000001</v>
      </c>
      <c r="H109" s="2">
        <v>6.7210000000000001</v>
      </c>
      <c r="I109" s="2">
        <v>0.59360000000000002</v>
      </c>
      <c r="J109" s="2">
        <v>0.34389999999999998</v>
      </c>
      <c r="K109" s="2">
        <v>589.20000000000005</v>
      </c>
      <c r="L109" s="2">
        <v>0.4214</v>
      </c>
      <c r="M109" s="2">
        <v>0.15080000000000002</v>
      </c>
      <c r="N109">
        <f t="shared" si="17"/>
        <v>1.377E-3</v>
      </c>
      <c r="O109" s="7">
        <f t="shared" si="13"/>
        <v>5754054.8838338712</v>
      </c>
      <c r="P109" s="7">
        <f t="shared" si="18"/>
        <v>181584162402075.78</v>
      </c>
      <c r="Q109">
        <f t="shared" si="19"/>
        <v>95886018000</v>
      </c>
      <c r="R109">
        <f t="shared" si="20"/>
        <v>41028352800000</v>
      </c>
      <c r="S109" s="1">
        <f t="shared" si="21"/>
        <v>1.9890000000000001E+33</v>
      </c>
      <c r="T109" s="1">
        <f t="shared" si="22"/>
        <v>6.840171E+32</v>
      </c>
      <c r="U109" s="8">
        <f t="shared" si="14"/>
        <v>3.4602055730317147E-14</v>
      </c>
      <c r="V109" s="11">
        <f t="shared" si="15"/>
        <v>2.757697919616161E+54</v>
      </c>
      <c r="W109" s="1">
        <f t="shared" si="16"/>
        <v>7.7061929928796444E+54</v>
      </c>
      <c r="X109">
        <f t="shared" si="23"/>
        <v>54.440546691488507</v>
      </c>
      <c r="Y109">
        <f t="shared" si="24"/>
        <v>54.886839881226834</v>
      </c>
      <c r="AA109" s="10">
        <f t="shared" si="25"/>
        <v>5.754054883833871</v>
      </c>
    </row>
    <row r="110" spans="1:27" x14ac:dyDescent="0.25">
      <c r="A110" s="2">
        <v>1</v>
      </c>
      <c r="B110" s="2">
        <v>6.7736939999999999</v>
      </c>
      <c r="C110" s="6">
        <v>3.6344772701607315</v>
      </c>
      <c r="D110" s="2">
        <v>-0.23899999999999999</v>
      </c>
      <c r="E110" s="2">
        <v>4168</v>
      </c>
      <c r="F110" s="2">
        <v>1.3640000000000001</v>
      </c>
      <c r="G110" s="2">
        <v>-0.23730000000000001</v>
      </c>
      <c r="H110" s="2">
        <v>6.7240000000000002</v>
      </c>
      <c r="I110" s="2">
        <v>0.6109</v>
      </c>
      <c r="J110" s="2">
        <v>0.35370000000000001</v>
      </c>
      <c r="K110" s="2">
        <v>590.29999999999995</v>
      </c>
      <c r="L110" s="2">
        <v>0.41960000000000003</v>
      </c>
      <c r="M110" s="2">
        <v>0.15430000000000002</v>
      </c>
      <c r="N110">
        <f t="shared" si="17"/>
        <v>1.3640000000000002E-3</v>
      </c>
      <c r="O110" s="7">
        <f t="shared" si="13"/>
        <v>5938735.7316948278</v>
      </c>
      <c r="P110" s="7">
        <f t="shared" si="18"/>
        <v>187412246726532.69</v>
      </c>
      <c r="Q110">
        <f t="shared" si="19"/>
        <v>94980776000</v>
      </c>
      <c r="R110">
        <f t="shared" si="20"/>
        <v>41104950199999.992</v>
      </c>
      <c r="S110" s="1">
        <f t="shared" si="21"/>
        <v>1.9890000000000001E+33</v>
      </c>
      <c r="T110" s="1">
        <f t="shared" si="22"/>
        <v>7.0350930000000007E+32</v>
      </c>
      <c r="U110" s="8">
        <f t="shared" si="14"/>
        <v>3.3526012397406745E-14</v>
      </c>
      <c r="V110" s="11">
        <f t="shared" si="15"/>
        <v>2.7686760003937182E+54</v>
      </c>
      <c r="W110" s="1">
        <f t="shared" si="16"/>
        <v>7.5290761488347641E+54</v>
      </c>
      <c r="X110">
        <f t="shared" si="23"/>
        <v>54.442272136144972</v>
      </c>
      <c r="Y110">
        <f t="shared" si="24"/>
        <v>54.876741689603342</v>
      </c>
      <c r="AA110" s="10">
        <f t="shared" si="25"/>
        <v>5.9387357316948277</v>
      </c>
    </row>
    <row r="111" spans="1:27" x14ac:dyDescent="0.25">
      <c r="A111" s="2">
        <v>1</v>
      </c>
      <c r="B111" s="2">
        <v>6.7805109999999997</v>
      </c>
      <c r="C111" s="6">
        <v>3.6344772701607315</v>
      </c>
      <c r="D111" s="2">
        <v>-0.24199999999999999</v>
      </c>
      <c r="E111" s="2">
        <v>4172</v>
      </c>
      <c r="F111" s="2">
        <v>1.3580000000000001</v>
      </c>
      <c r="G111" s="2">
        <v>-0.24260000000000001</v>
      </c>
      <c r="H111" s="2">
        <v>6.726</v>
      </c>
      <c r="I111" s="2">
        <v>0.61960000000000004</v>
      </c>
      <c r="J111" s="2">
        <v>0.36349999999999999</v>
      </c>
      <c r="K111" s="2">
        <v>594.6</v>
      </c>
      <c r="L111" s="2">
        <v>0.41799999999999998</v>
      </c>
      <c r="M111" s="2">
        <v>0.158</v>
      </c>
      <c r="N111">
        <f t="shared" si="17"/>
        <v>1.358E-3</v>
      </c>
      <c r="O111" s="7">
        <f t="shared" si="13"/>
        <v>6032689.8759306427</v>
      </c>
      <c r="P111" s="7">
        <f t="shared" si="18"/>
        <v>190377214028668.84</v>
      </c>
      <c r="Q111">
        <f t="shared" si="19"/>
        <v>94562972000</v>
      </c>
      <c r="R111">
        <f t="shared" si="20"/>
        <v>41404376400000</v>
      </c>
      <c r="S111" s="1">
        <f t="shared" si="21"/>
        <v>1.9890000000000001E+33</v>
      </c>
      <c r="T111" s="1">
        <f t="shared" si="22"/>
        <v>7.2300149999999986E+32</v>
      </c>
      <c r="U111" s="8">
        <f t="shared" si="14"/>
        <v>3.3003872544502116E-14</v>
      </c>
      <c r="V111" s="11">
        <f t="shared" si="15"/>
        <v>2.8101797262569042E+54</v>
      </c>
      <c r="W111" s="1">
        <f t="shared" si="16"/>
        <v>7.4345261112366204E+54</v>
      </c>
      <c r="X111">
        <f t="shared" si="23"/>
        <v>54.448734096284291</v>
      </c>
      <c r="Y111">
        <f t="shared" si="24"/>
        <v>54.8712532911049</v>
      </c>
      <c r="AA111" s="10">
        <f t="shared" si="25"/>
        <v>6.0326898759306431</v>
      </c>
    </row>
    <row r="112" spans="1:27" x14ac:dyDescent="0.25">
      <c r="A112" s="2">
        <v>1</v>
      </c>
      <c r="B112" s="2">
        <v>6.7940579999999997</v>
      </c>
      <c r="C112" s="6">
        <v>3.634578022853888</v>
      </c>
      <c r="D112" s="2">
        <v>-0.25</v>
      </c>
      <c r="E112" s="2">
        <v>4179</v>
      </c>
      <c r="F112" s="2">
        <v>1.3460000000000001</v>
      </c>
      <c r="G112" s="2">
        <v>-0.25409999999999999</v>
      </c>
      <c r="H112" s="2">
        <v>6.7290000000000001</v>
      </c>
      <c r="I112" s="2">
        <v>0.63690000000000002</v>
      </c>
      <c r="J112" s="2">
        <v>0.37340000000000001</v>
      </c>
      <c r="K112" s="2">
        <v>595.4</v>
      </c>
      <c r="L112" s="2">
        <v>0.41610000000000003</v>
      </c>
      <c r="M112" s="2">
        <v>0.16140000000000002</v>
      </c>
      <c r="N112">
        <f t="shared" si="17"/>
        <v>1.3460000000000002E-3</v>
      </c>
      <c r="O112" s="7">
        <f t="shared" si="13"/>
        <v>6223833.9888183204</v>
      </c>
      <c r="P112" s="7">
        <f t="shared" si="18"/>
        <v>196409263485533.03</v>
      </c>
      <c r="Q112">
        <f t="shared" si="19"/>
        <v>93727364000.000015</v>
      </c>
      <c r="R112">
        <f t="shared" si="20"/>
        <v>41460083600000</v>
      </c>
      <c r="S112" s="1">
        <f t="shared" si="21"/>
        <v>1.9890000000000001E+33</v>
      </c>
      <c r="T112" s="1">
        <f t="shared" si="22"/>
        <v>7.4269260000000006E+32</v>
      </c>
      <c r="U112" s="8">
        <f t="shared" si="14"/>
        <v>3.1990269683193372E-14</v>
      </c>
      <c r="V112" s="11">
        <f t="shared" si="15"/>
        <v>2.8201429292682634E+54</v>
      </c>
      <c r="W112" s="1">
        <f t="shared" si="16"/>
        <v>7.2705171801023804E+54</v>
      </c>
      <c r="X112">
        <f t="shared" si="23"/>
        <v>54.450271119602867</v>
      </c>
      <c r="Y112">
        <f t="shared" si="24"/>
        <v>54.861565305009762</v>
      </c>
      <c r="AA112" s="10">
        <f t="shared" si="25"/>
        <v>6.2238339888183205</v>
      </c>
    </row>
    <row r="113" spans="1:27" x14ac:dyDescent="0.25">
      <c r="A113" s="2">
        <v>1</v>
      </c>
      <c r="B113" s="2">
        <v>6.800789</v>
      </c>
      <c r="C113" s="6">
        <v>3.634578022853888</v>
      </c>
      <c r="D113" s="2">
        <v>-0.253</v>
      </c>
      <c r="E113" s="2">
        <v>4183</v>
      </c>
      <c r="F113" s="2">
        <v>1.34</v>
      </c>
      <c r="G113" s="2">
        <v>-0.25879999999999997</v>
      </c>
      <c r="H113" s="2">
        <v>6.7309999999999999</v>
      </c>
      <c r="I113" s="2">
        <v>0.64559999999999995</v>
      </c>
      <c r="J113" s="2">
        <v>0.38</v>
      </c>
      <c r="K113" s="2">
        <v>597.1</v>
      </c>
      <c r="L113" s="2">
        <v>0.4148</v>
      </c>
      <c r="M113" s="2">
        <v>0.16390000000000002</v>
      </c>
      <c r="N113">
        <f t="shared" si="17"/>
        <v>1.34E-3</v>
      </c>
      <c r="O113" s="7">
        <f t="shared" si="13"/>
        <v>6321046.7157977689</v>
      </c>
      <c r="P113" s="7">
        <f t="shared" si="18"/>
        <v>199477063838459.69</v>
      </c>
      <c r="Q113">
        <f t="shared" si="19"/>
        <v>93309560000</v>
      </c>
      <c r="R113">
        <f t="shared" si="20"/>
        <v>41578461400000.008</v>
      </c>
      <c r="S113" s="1">
        <f t="shared" si="21"/>
        <v>1.9890000000000001E+33</v>
      </c>
      <c r="T113" s="1">
        <f t="shared" si="22"/>
        <v>7.5581999999999995E+32</v>
      </c>
      <c r="U113" s="8">
        <f t="shared" si="14"/>
        <v>3.1498284495844743E-14</v>
      </c>
      <c r="V113" s="11">
        <f t="shared" si="15"/>
        <v>2.8383504705357506E+54</v>
      </c>
      <c r="W113" s="1">
        <f t="shared" si="16"/>
        <v>7.1833299278720507E+54</v>
      </c>
      <c r="X113">
        <f t="shared" si="23"/>
        <v>54.453066019741016</v>
      </c>
      <c r="Y113">
        <f t="shared" si="24"/>
        <v>54.856325813887523</v>
      </c>
      <c r="AA113" s="10">
        <f t="shared" si="25"/>
        <v>6.3210467157977686</v>
      </c>
    </row>
    <row r="114" spans="1:27" x14ac:dyDescent="0.25">
      <c r="A114" s="2">
        <v>1</v>
      </c>
      <c r="B114" s="2">
        <v>6.8141619999999996</v>
      </c>
      <c r="C114" s="6">
        <v>3.6346787521786821</v>
      </c>
      <c r="D114" s="2">
        <v>-0.26</v>
      </c>
      <c r="E114" s="2">
        <v>4191</v>
      </c>
      <c r="F114" s="2">
        <v>1.329</v>
      </c>
      <c r="G114" s="2">
        <v>-0.27079999999999999</v>
      </c>
      <c r="H114" s="2">
        <v>6.7350000000000003</v>
      </c>
      <c r="I114" s="2">
        <v>0.66300000000000003</v>
      </c>
      <c r="J114" s="2">
        <v>0.3866</v>
      </c>
      <c r="K114" s="2">
        <v>595.5</v>
      </c>
      <c r="L114" s="2">
        <v>0.41339999999999999</v>
      </c>
      <c r="M114" s="2">
        <v>0.16600000000000001</v>
      </c>
      <c r="N114">
        <f t="shared" si="17"/>
        <v>1.3289999999999999E-3</v>
      </c>
      <c r="O114" s="7">
        <f t="shared" si="13"/>
        <v>6518715.0903311633</v>
      </c>
      <c r="P114" s="7">
        <f t="shared" si="18"/>
        <v>205715003334634.72</v>
      </c>
      <c r="Q114">
        <f t="shared" si="19"/>
        <v>92543586000</v>
      </c>
      <c r="R114">
        <f t="shared" si="20"/>
        <v>41467047000000</v>
      </c>
      <c r="S114" s="1">
        <f t="shared" si="21"/>
        <v>1.9890000000000001E+33</v>
      </c>
      <c r="T114" s="1">
        <f t="shared" si="22"/>
        <v>7.6894739999999999E+32</v>
      </c>
      <c r="U114" s="8">
        <f t="shared" si="14"/>
        <v>3.0543155362172518E-14</v>
      </c>
      <c r="V114" s="11">
        <f t="shared" si="15"/>
        <v>2.8277142430778958E+54</v>
      </c>
      <c r="W114" s="1">
        <f t="shared" si="16"/>
        <v>7.0420305306530243E+54</v>
      </c>
      <c r="X114">
        <f t="shared" si="23"/>
        <v>54.45143551936642</v>
      </c>
      <c r="Y114">
        <f t="shared" si="24"/>
        <v>54.847697903617636</v>
      </c>
      <c r="AA114" s="10">
        <f t="shared" si="25"/>
        <v>6.5187150903311633</v>
      </c>
    </row>
    <row r="115" spans="1:27" x14ac:dyDescent="0.25">
      <c r="A115" s="2">
        <v>1</v>
      </c>
      <c r="B115" s="2">
        <v>6.8208060000000001</v>
      </c>
      <c r="C115" s="6">
        <v>3.6347794581459518</v>
      </c>
      <c r="D115" s="2">
        <v>-0.26400000000000001</v>
      </c>
      <c r="E115" s="2">
        <v>4194</v>
      </c>
      <c r="F115" s="2">
        <v>1.323</v>
      </c>
      <c r="G115" s="2">
        <v>-0.27650000000000002</v>
      </c>
      <c r="H115" s="2">
        <v>6.7359999999999998</v>
      </c>
      <c r="I115" s="2">
        <v>0.67159999999999997</v>
      </c>
      <c r="J115" s="2">
        <v>0.39329999999999998</v>
      </c>
      <c r="K115" s="2">
        <v>597.1</v>
      </c>
      <c r="L115" s="2">
        <v>0.41210000000000002</v>
      </c>
      <c r="M115" s="2">
        <v>0.16839999999999999</v>
      </c>
      <c r="N115">
        <f t="shared" si="17"/>
        <v>1.323E-3</v>
      </c>
      <c r="O115" s="7">
        <f t="shared" si="13"/>
        <v>6619207.5665115407</v>
      </c>
      <c r="P115" s="7">
        <f t="shared" si="18"/>
        <v>208886304700944.59</v>
      </c>
      <c r="Q115">
        <f t="shared" si="19"/>
        <v>92125782000</v>
      </c>
      <c r="R115">
        <f t="shared" si="20"/>
        <v>41578461400000.008</v>
      </c>
      <c r="S115" s="1">
        <f t="shared" si="21"/>
        <v>1.9890000000000001E+33</v>
      </c>
      <c r="T115" s="1">
        <f t="shared" si="22"/>
        <v>7.8227369999999986E+32</v>
      </c>
      <c r="U115" s="8">
        <f t="shared" si="14"/>
        <v>3.0079450714468855E-14</v>
      </c>
      <c r="V115" s="11">
        <f t="shared" si="15"/>
        <v>2.8427537753836032E+54</v>
      </c>
      <c r="W115" s="1">
        <f t="shared" si="16"/>
        <v>6.9566438885723449E+54</v>
      </c>
      <c r="X115">
        <f t="shared" si="23"/>
        <v>54.453739244979538</v>
      </c>
      <c r="Y115">
        <f t="shared" si="24"/>
        <v>54.842399772340492</v>
      </c>
      <c r="AA115" s="10">
        <f t="shared" si="25"/>
        <v>6.6192075665115411</v>
      </c>
    </row>
    <row r="116" spans="1:27" x14ac:dyDescent="0.25">
      <c r="A116" s="2">
        <v>1</v>
      </c>
      <c r="B116" s="2">
        <v>6.8340050000000003</v>
      </c>
      <c r="C116" s="6">
        <v>3.6348801407665263</v>
      </c>
      <c r="D116" s="2">
        <v>-0.27100000000000002</v>
      </c>
      <c r="E116" s="2">
        <v>4202</v>
      </c>
      <c r="F116" s="2">
        <v>1.3120000000000001</v>
      </c>
      <c r="G116" s="2">
        <v>-0.28820000000000001</v>
      </c>
      <c r="H116" s="2">
        <v>6.74</v>
      </c>
      <c r="I116" s="2">
        <v>0.68899999999999995</v>
      </c>
      <c r="J116" s="2">
        <v>0.40260000000000001</v>
      </c>
      <c r="K116" s="2">
        <v>597.29999999999995</v>
      </c>
      <c r="L116" s="2">
        <v>0.41010000000000002</v>
      </c>
      <c r="M116" s="2">
        <v>0.17150000000000001</v>
      </c>
      <c r="N116">
        <f t="shared" si="17"/>
        <v>1.312E-3</v>
      </c>
      <c r="O116" s="7">
        <f t="shared" si="13"/>
        <v>6823465.4990142034</v>
      </c>
      <c r="P116" s="7">
        <f t="shared" si="18"/>
        <v>215332194831690.63</v>
      </c>
      <c r="Q116">
        <f t="shared" si="19"/>
        <v>91359808000</v>
      </c>
      <c r="R116">
        <f t="shared" si="20"/>
        <v>41592388199999.992</v>
      </c>
      <c r="S116" s="1">
        <f t="shared" si="21"/>
        <v>1.9890000000000001E+33</v>
      </c>
      <c r="T116" s="1">
        <f t="shared" si="22"/>
        <v>8.0077140000000004E+32</v>
      </c>
      <c r="U116" s="8">
        <f t="shared" si="14"/>
        <v>2.917903340970769E-14</v>
      </c>
      <c r="V116" s="11">
        <f t="shared" si="15"/>
        <v>2.8471428913165008E+54</v>
      </c>
      <c r="W116" s="1">
        <f t="shared" si="16"/>
        <v>6.8082408147457538E+54</v>
      </c>
      <c r="X116">
        <f t="shared" si="23"/>
        <v>54.454409263898974</v>
      </c>
      <c r="Y116">
        <f t="shared" si="24"/>
        <v>54.833034908807669</v>
      </c>
      <c r="AA116" s="10">
        <f t="shared" si="25"/>
        <v>6.8234654990142038</v>
      </c>
    </row>
    <row r="117" spans="1:27" x14ac:dyDescent="0.25">
      <c r="A117" s="2">
        <v>1</v>
      </c>
      <c r="B117" s="2">
        <v>6.84056</v>
      </c>
      <c r="C117" s="6">
        <v>3.6349808000512285</v>
      </c>
      <c r="D117" s="2">
        <v>-0.27400000000000002</v>
      </c>
      <c r="E117" s="2">
        <v>4205</v>
      </c>
      <c r="F117" s="2">
        <v>1.3069999999999999</v>
      </c>
      <c r="G117" s="2">
        <v>-0.29330000000000001</v>
      </c>
      <c r="H117" s="2">
        <v>6.7409999999999997</v>
      </c>
      <c r="I117" s="2">
        <v>0.69769999999999999</v>
      </c>
      <c r="J117" s="2">
        <v>0.41189999999999999</v>
      </c>
      <c r="K117" s="2">
        <v>600.9</v>
      </c>
      <c r="L117" s="2">
        <v>0.4083</v>
      </c>
      <c r="M117" s="2">
        <v>0.1749</v>
      </c>
      <c r="N117">
        <f t="shared" si="17"/>
        <v>1.307E-3</v>
      </c>
      <c r="O117" s="7">
        <f t="shared" si="13"/>
        <v>6927236.2613242399</v>
      </c>
      <c r="P117" s="7">
        <f t="shared" si="18"/>
        <v>218606951040365.84</v>
      </c>
      <c r="Q117">
        <f t="shared" si="19"/>
        <v>91011638000</v>
      </c>
      <c r="R117">
        <f t="shared" si="20"/>
        <v>41843070600000</v>
      </c>
      <c r="S117" s="1">
        <f t="shared" si="21"/>
        <v>1.9890000000000001E+33</v>
      </c>
      <c r="T117" s="1">
        <f t="shared" si="22"/>
        <v>8.1926909999999993E+32</v>
      </c>
      <c r="U117" s="8">
        <f t="shared" si="14"/>
        <v>2.8741928274821392E-14</v>
      </c>
      <c r="V117" s="11">
        <f t="shared" si="15"/>
        <v>2.8814988731508257E+54</v>
      </c>
      <c r="W117" s="1">
        <f t="shared" si="16"/>
        <v>6.726792395125684E+54</v>
      </c>
      <c r="X117">
        <f t="shared" si="23"/>
        <v>54.459618454080669</v>
      </c>
      <c r="Y117">
        <f t="shared" si="24"/>
        <v>54.827808024524991</v>
      </c>
      <c r="AA117" s="10">
        <f t="shared" si="25"/>
        <v>6.9272362613242402</v>
      </c>
    </row>
    <row r="118" spans="1:27" x14ac:dyDescent="0.25">
      <c r="A118" s="2">
        <v>1</v>
      </c>
      <c r="B118" s="2">
        <v>6.8535810000000001</v>
      </c>
      <c r="C118" s="6">
        <v>3.6351820486562678</v>
      </c>
      <c r="D118" s="2">
        <v>-0.28000000000000003</v>
      </c>
      <c r="E118" s="2">
        <v>4212</v>
      </c>
      <c r="F118" s="2">
        <v>1.296</v>
      </c>
      <c r="G118" s="2">
        <v>-0.30449999999999999</v>
      </c>
      <c r="H118" s="2">
        <v>6.7450000000000001</v>
      </c>
      <c r="I118" s="2">
        <v>0.71499999999999997</v>
      </c>
      <c r="J118" s="2">
        <v>0.42120000000000002</v>
      </c>
      <c r="K118" s="2">
        <v>601</v>
      </c>
      <c r="L118" s="2">
        <v>0.40620000000000001</v>
      </c>
      <c r="M118" s="2">
        <v>0.17799999999999999</v>
      </c>
      <c r="N118">
        <f t="shared" si="17"/>
        <v>1.2960000000000001E-3</v>
      </c>
      <c r="O118" s="7">
        <f t="shared" si="13"/>
        <v>7138073.2447855789</v>
      </c>
      <c r="P118" s="7">
        <f t="shared" si="18"/>
        <v>225260460229645.38</v>
      </c>
      <c r="Q118">
        <f t="shared" si="19"/>
        <v>90245664000.000015</v>
      </c>
      <c r="R118">
        <f t="shared" si="20"/>
        <v>41850033999999.992</v>
      </c>
      <c r="S118" s="1">
        <f t="shared" si="21"/>
        <v>1.9890000000000001E+33</v>
      </c>
      <c r="T118" s="1">
        <f t="shared" si="22"/>
        <v>8.3776679999999997E+32</v>
      </c>
      <c r="U118" s="8">
        <f t="shared" si="14"/>
        <v>2.7892979090844848E-14</v>
      </c>
      <c r="V118" s="11">
        <f t="shared" si="15"/>
        <v>2.8834171340180918E+54</v>
      </c>
      <c r="W118" s="1">
        <f t="shared" si="16"/>
        <v>6.580022695719937E+54</v>
      </c>
      <c r="X118">
        <f t="shared" si="23"/>
        <v>54.459907474818948</v>
      </c>
      <c r="Y118">
        <f t="shared" si="24"/>
        <v>54.818227391578837</v>
      </c>
      <c r="AA118" s="10">
        <f t="shared" si="25"/>
        <v>7.1380732447855788</v>
      </c>
    </row>
    <row r="119" spans="1:27" x14ac:dyDescent="0.25">
      <c r="A119" s="2">
        <v>1</v>
      </c>
      <c r="B119" s="2">
        <v>6.8600459999999996</v>
      </c>
      <c r="C119" s="6">
        <v>3.6352826379982122</v>
      </c>
      <c r="D119" s="2">
        <v>-0.28299999999999997</v>
      </c>
      <c r="E119" s="2">
        <v>4216</v>
      </c>
      <c r="F119" s="2">
        <v>1.2909999999999999</v>
      </c>
      <c r="G119" s="2">
        <v>-0.31069999999999998</v>
      </c>
      <c r="H119" s="2">
        <v>6.7460000000000004</v>
      </c>
      <c r="I119" s="2">
        <v>0.72370000000000001</v>
      </c>
      <c r="J119" s="2">
        <v>0.4304</v>
      </c>
      <c r="K119" s="2">
        <v>604.4</v>
      </c>
      <c r="L119" s="2">
        <v>0.40429999999999999</v>
      </c>
      <c r="M119" s="2">
        <v>0.18140000000000001</v>
      </c>
      <c r="N119">
        <f t="shared" si="17"/>
        <v>1.2909999999999998E-3</v>
      </c>
      <c r="O119" s="7">
        <f t="shared" si="13"/>
        <v>7245126.9560914552</v>
      </c>
      <c r="P119" s="7">
        <f t="shared" si="18"/>
        <v>228638818429551.72</v>
      </c>
      <c r="Q119">
        <f t="shared" si="19"/>
        <v>89897493999.999985</v>
      </c>
      <c r="R119">
        <f t="shared" si="20"/>
        <v>42086789600000</v>
      </c>
      <c r="S119" s="1">
        <f t="shared" si="21"/>
        <v>1.9890000000000001E+33</v>
      </c>
      <c r="T119" s="1">
        <f t="shared" si="22"/>
        <v>8.5606560000000003E+32</v>
      </c>
      <c r="U119" s="8">
        <f t="shared" si="14"/>
        <v>2.7480833527468406E-14</v>
      </c>
      <c r="V119" s="11">
        <f t="shared" si="15"/>
        <v>2.9158638166081625E+54</v>
      </c>
      <c r="W119" s="1">
        <f t="shared" si="16"/>
        <v>6.4988078338185227E+54</v>
      </c>
      <c r="X119">
        <f t="shared" si="23"/>
        <v>54.464767236697817</v>
      </c>
      <c r="Y119">
        <f t="shared" si="24"/>
        <v>54.812833695307418</v>
      </c>
      <c r="AA119" s="10">
        <f t="shared" si="25"/>
        <v>7.2451269560914549</v>
      </c>
    </row>
    <row r="120" spans="1:27" x14ac:dyDescent="0.25">
      <c r="A120" s="2">
        <v>1</v>
      </c>
      <c r="B120" s="2">
        <v>6.8728870000000004</v>
      </c>
      <c r="C120" s="6">
        <v>3.6354837468149119</v>
      </c>
      <c r="D120" s="2">
        <v>-0.28899999999999998</v>
      </c>
      <c r="E120" s="2">
        <v>4223</v>
      </c>
      <c r="F120" s="2">
        <v>1.28</v>
      </c>
      <c r="G120" s="2">
        <v>-0.32150000000000001</v>
      </c>
      <c r="H120" s="2">
        <v>6.75</v>
      </c>
      <c r="I120" s="2">
        <v>0.74109999999999998</v>
      </c>
      <c r="J120" s="2">
        <v>0.43969999999999998</v>
      </c>
      <c r="K120" s="2">
        <v>604.5</v>
      </c>
      <c r="L120" s="2">
        <v>0.4022</v>
      </c>
      <c r="M120" s="2">
        <v>0.18440000000000001</v>
      </c>
      <c r="N120">
        <f t="shared" si="17"/>
        <v>1.2800000000000001E-3</v>
      </c>
      <c r="O120" s="7">
        <f t="shared" si="13"/>
        <v>7462545.6359357452</v>
      </c>
      <c r="P120" s="7">
        <f t="shared" si="18"/>
        <v>235500030160605.88</v>
      </c>
      <c r="Q120">
        <f t="shared" si="19"/>
        <v>89131520000</v>
      </c>
      <c r="R120">
        <f t="shared" si="20"/>
        <v>42093753000000</v>
      </c>
      <c r="S120" s="1">
        <f t="shared" si="21"/>
        <v>1.9890000000000001E+33</v>
      </c>
      <c r="T120" s="1">
        <f t="shared" si="22"/>
        <v>8.7456330000000007E+32</v>
      </c>
      <c r="U120" s="8">
        <f t="shared" si="14"/>
        <v>2.6680188970228967E-14</v>
      </c>
      <c r="V120" s="11">
        <f t="shared" si="15"/>
        <v>2.9137905163836614E+54</v>
      </c>
      <c r="W120" s="1">
        <f t="shared" si="16"/>
        <v>6.3553500308541677E+54</v>
      </c>
      <c r="X120">
        <f t="shared" si="23"/>
        <v>54.464458325454252</v>
      </c>
      <c r="Y120">
        <f t="shared" si="24"/>
        <v>54.803139474997359</v>
      </c>
      <c r="AA120" s="10">
        <f t="shared" si="25"/>
        <v>7.4625456359357454</v>
      </c>
    </row>
    <row r="121" spans="1:27" x14ac:dyDescent="0.25">
      <c r="A121" s="2">
        <v>1</v>
      </c>
      <c r="B121" s="2">
        <v>6.8792609999999996</v>
      </c>
      <c r="C121" s="6">
        <v>3.6356847625472226</v>
      </c>
      <c r="D121" s="2">
        <v>-0.29199999999999998</v>
      </c>
      <c r="E121" s="2">
        <v>4226</v>
      </c>
      <c r="F121" s="2">
        <v>1.2749999999999999</v>
      </c>
      <c r="G121" s="2">
        <v>-0.3261</v>
      </c>
      <c r="H121" s="2">
        <v>6.7510000000000003</v>
      </c>
      <c r="I121" s="2">
        <v>0.74980000000000002</v>
      </c>
      <c r="J121" s="2">
        <v>0.44900000000000001</v>
      </c>
      <c r="K121" s="2">
        <v>607.79999999999995</v>
      </c>
      <c r="L121" s="2">
        <v>0.4002</v>
      </c>
      <c r="M121" s="2">
        <v>0.18780000000000002</v>
      </c>
      <c r="N121">
        <f t="shared" si="17"/>
        <v>1.2749999999999999E-3</v>
      </c>
      <c r="O121" s="7">
        <f t="shared" si="13"/>
        <v>7572878.6915030545</v>
      </c>
      <c r="P121" s="7">
        <f t="shared" si="18"/>
        <v>238981876594976.78</v>
      </c>
      <c r="Q121">
        <f t="shared" si="19"/>
        <v>88783350000</v>
      </c>
      <c r="R121">
        <f t="shared" si="20"/>
        <v>42323545200000</v>
      </c>
      <c r="S121" s="1">
        <f t="shared" si="21"/>
        <v>1.9890000000000001E+33</v>
      </c>
      <c r="T121" s="1">
        <f t="shared" si="22"/>
        <v>8.930610000000001E+32</v>
      </c>
      <c r="U121" s="8">
        <f t="shared" si="14"/>
        <v>2.6291471958889348E-14</v>
      </c>
      <c r="V121" s="11">
        <f t="shared" si="15"/>
        <v>2.9443770700293172E+54</v>
      </c>
      <c r="W121" s="1">
        <f t="shared" si="16"/>
        <v>6.2744393153659872E+54</v>
      </c>
      <c r="X121">
        <f t="shared" si="23"/>
        <v>54.468993426910941</v>
      </c>
      <c r="Y121">
        <f t="shared" si="24"/>
        <v>54.79757492328104</v>
      </c>
      <c r="AA121" s="10">
        <f t="shared" si="25"/>
        <v>7.5728786915030541</v>
      </c>
    </row>
    <row r="122" spans="1:27" x14ac:dyDescent="0.25">
      <c r="A122" s="2">
        <v>1</v>
      </c>
      <c r="B122" s="2">
        <v>6.8919189999999997</v>
      </c>
      <c r="C122" s="6">
        <v>3.6358856852812727</v>
      </c>
      <c r="D122" s="2">
        <v>-0.29799999999999999</v>
      </c>
      <c r="E122" s="2">
        <v>4233</v>
      </c>
      <c r="F122" s="2">
        <v>1.266</v>
      </c>
      <c r="G122" s="2">
        <v>-0.3382</v>
      </c>
      <c r="H122" s="2">
        <v>6.7549999999999999</v>
      </c>
      <c r="I122" s="2">
        <v>0.76719999999999999</v>
      </c>
      <c r="J122" s="2">
        <v>0.45829999999999999</v>
      </c>
      <c r="K122" s="2">
        <v>607.9</v>
      </c>
      <c r="L122" s="2">
        <v>0.39789999999999998</v>
      </c>
      <c r="M122" s="2">
        <v>0.19080000000000003</v>
      </c>
      <c r="N122">
        <f t="shared" si="17"/>
        <v>1.266E-3</v>
      </c>
      <c r="O122" s="7">
        <f t="shared" si="13"/>
        <v>7796846.7844571304</v>
      </c>
      <c r="P122" s="7">
        <f t="shared" si="18"/>
        <v>246049772085184.34</v>
      </c>
      <c r="Q122">
        <f t="shared" si="19"/>
        <v>88156644000</v>
      </c>
      <c r="R122">
        <f t="shared" si="20"/>
        <v>42330508600000</v>
      </c>
      <c r="S122" s="1">
        <f t="shared" si="21"/>
        <v>1.9890000000000001E+33</v>
      </c>
      <c r="T122" s="1">
        <f t="shared" si="22"/>
        <v>9.115587E+32</v>
      </c>
      <c r="U122" s="8">
        <f t="shared" si="14"/>
        <v>2.5536237054526915E-14</v>
      </c>
      <c r="V122" s="11">
        <f t="shared" si="15"/>
        <v>2.9493292038822266E+54</v>
      </c>
      <c r="W122" s="1">
        <f t="shared" si="16"/>
        <v>6.1506189215133004E+54</v>
      </c>
      <c r="X122">
        <f t="shared" si="23"/>
        <v>54.469723251171651</v>
      </c>
      <c r="Y122">
        <f t="shared" si="24"/>
        <v>54.788918819949963</v>
      </c>
      <c r="AA122" s="10">
        <f t="shared" si="25"/>
        <v>7.7968467844571308</v>
      </c>
    </row>
    <row r="123" spans="1:27" x14ac:dyDescent="0.25">
      <c r="A123" s="2">
        <v>1</v>
      </c>
      <c r="B123" s="2">
        <v>6.9044530000000002</v>
      </c>
      <c r="C123" s="6">
        <v>3.6361868951987244</v>
      </c>
      <c r="D123" s="2">
        <v>-0.30299999999999999</v>
      </c>
      <c r="E123" s="2">
        <v>4240</v>
      </c>
      <c r="F123" s="2">
        <v>1.256</v>
      </c>
      <c r="G123" s="2">
        <v>-0.34870000000000001</v>
      </c>
      <c r="H123" s="2">
        <v>6.758</v>
      </c>
      <c r="I123" s="2">
        <v>0.78449999999999998</v>
      </c>
      <c r="J123" s="2">
        <v>0.46760000000000002</v>
      </c>
      <c r="K123" s="2">
        <v>607.9</v>
      </c>
      <c r="L123" s="2">
        <v>0.39560000000000001</v>
      </c>
      <c r="M123" s="2">
        <v>0.19369999999999998</v>
      </c>
      <c r="N123">
        <f t="shared" si="17"/>
        <v>1.256E-3</v>
      </c>
      <c r="O123" s="7">
        <f t="shared" si="13"/>
        <v>8025147.0682813525</v>
      </c>
      <c r="P123" s="7">
        <f t="shared" si="18"/>
        <v>253254381121995.63</v>
      </c>
      <c r="Q123">
        <f t="shared" si="19"/>
        <v>87460304000</v>
      </c>
      <c r="R123">
        <f t="shared" si="20"/>
        <v>42330508600000</v>
      </c>
      <c r="S123" s="1">
        <f t="shared" si="21"/>
        <v>1.9890000000000001E+33</v>
      </c>
      <c r="T123" s="1">
        <f t="shared" si="22"/>
        <v>9.3005640000000003E+32</v>
      </c>
      <c r="U123" s="8">
        <f t="shared" si="14"/>
        <v>2.4809779318893212E-14</v>
      </c>
      <c r="V123" s="11">
        <f t="shared" si="15"/>
        <v>2.9470422964484955E+54</v>
      </c>
      <c r="W123" s="1">
        <f t="shared" si="16"/>
        <v>6.0188432239288851E+54</v>
      </c>
      <c r="X123">
        <f t="shared" si="23"/>
        <v>54.469386368962368</v>
      </c>
      <c r="Y123">
        <f t="shared" si="24"/>
        <v>54.779513031168399</v>
      </c>
      <c r="AA123" s="10">
        <f t="shared" si="25"/>
        <v>8.0251470682813526</v>
      </c>
    </row>
    <row r="124" spans="1:27" x14ac:dyDescent="0.25">
      <c r="A124" s="2">
        <v>1</v>
      </c>
      <c r="B124" s="2">
        <v>6.9106730000000001</v>
      </c>
      <c r="C124" s="6">
        <v>3.6363875858131567</v>
      </c>
      <c r="D124" s="2">
        <v>-0.30599999999999999</v>
      </c>
      <c r="E124" s="2">
        <v>4243</v>
      </c>
      <c r="F124" s="2">
        <v>1.2509999999999999</v>
      </c>
      <c r="G124" s="2">
        <v>-0.35360000000000003</v>
      </c>
      <c r="H124" s="2">
        <v>6.76</v>
      </c>
      <c r="I124" s="2">
        <v>0.79320000000000002</v>
      </c>
      <c r="J124" s="2">
        <v>0.47570000000000001</v>
      </c>
      <c r="K124" s="2">
        <v>610.29999999999995</v>
      </c>
      <c r="L124" s="2">
        <v>0.39369999999999999</v>
      </c>
      <c r="M124" s="2">
        <v>0.19650000000000001</v>
      </c>
      <c r="N124">
        <f t="shared" si="17"/>
        <v>1.2509999999999999E-3</v>
      </c>
      <c r="O124" s="7">
        <f t="shared" si="13"/>
        <v>8140910.8711943692</v>
      </c>
      <c r="P124" s="7">
        <f t="shared" si="18"/>
        <v>256907608908803.44</v>
      </c>
      <c r="Q124">
        <f t="shared" si="19"/>
        <v>87112134000</v>
      </c>
      <c r="R124">
        <f t="shared" si="20"/>
        <v>42497630199999.992</v>
      </c>
      <c r="S124" s="1">
        <f t="shared" si="21"/>
        <v>1.9890000000000001E+33</v>
      </c>
      <c r="T124" s="1">
        <f t="shared" si="22"/>
        <v>9.4616730000000004E+32</v>
      </c>
      <c r="U124" s="8">
        <f t="shared" si="14"/>
        <v>2.4456984103612047E-14</v>
      </c>
      <c r="V124" s="11">
        <f t="shared" si="15"/>
        <v>2.9658872943950364E+54</v>
      </c>
      <c r="W124" s="1">
        <f t="shared" si="16"/>
        <v>5.9423400906021675E+54</v>
      </c>
      <c r="X124">
        <f t="shared" si="23"/>
        <v>54.472154643539184</v>
      </c>
      <c r="Y124">
        <f t="shared" si="24"/>
        <v>54.773957503617972</v>
      </c>
      <c r="AA124" s="10">
        <f t="shared" si="25"/>
        <v>8.1409108711943698</v>
      </c>
    </row>
    <row r="125" spans="1:27" x14ac:dyDescent="0.25">
      <c r="A125" s="2">
        <v>1</v>
      </c>
      <c r="B125" s="2">
        <v>6.9230210000000003</v>
      </c>
      <c r="C125" s="6">
        <v>3.6366884479532828</v>
      </c>
      <c r="D125" s="2">
        <v>-0.311</v>
      </c>
      <c r="E125" s="2">
        <v>4249</v>
      </c>
      <c r="F125" s="2">
        <v>1.242</v>
      </c>
      <c r="G125" s="2">
        <v>-0.36249999999999999</v>
      </c>
      <c r="H125" s="2">
        <v>6.7629999999999999</v>
      </c>
      <c r="I125" s="2">
        <v>0.81059999999999999</v>
      </c>
      <c r="J125" s="2">
        <v>0.4919</v>
      </c>
      <c r="K125" s="2">
        <v>615.1</v>
      </c>
      <c r="L125" s="2">
        <v>0.38980000000000004</v>
      </c>
      <c r="M125" s="2">
        <v>0.20219999999999999</v>
      </c>
      <c r="N125">
        <f t="shared" si="17"/>
        <v>1.242E-3</v>
      </c>
      <c r="O125" s="7">
        <f t="shared" si="13"/>
        <v>8375697.8123726854</v>
      </c>
      <c r="P125" s="7">
        <f t="shared" si="18"/>
        <v>264316921283732.25</v>
      </c>
      <c r="Q125">
        <f t="shared" si="19"/>
        <v>86485428000</v>
      </c>
      <c r="R125">
        <f t="shared" si="20"/>
        <v>42831873400000.008</v>
      </c>
      <c r="S125" s="1">
        <f t="shared" si="21"/>
        <v>1.9890000000000001E+33</v>
      </c>
      <c r="T125" s="1">
        <f t="shared" si="22"/>
        <v>9.7838909999999991E+32</v>
      </c>
      <c r="U125" s="8">
        <f t="shared" si="14"/>
        <v>2.3771407735318131E-14</v>
      </c>
      <c r="V125" s="11">
        <f t="shared" si="15"/>
        <v>3.008166097453225E+54</v>
      </c>
      <c r="W125" s="1">
        <f t="shared" si="16"/>
        <v>5.7991253451397993E+54</v>
      </c>
      <c r="X125">
        <f t="shared" si="23"/>
        <v>54.478301812377005</v>
      </c>
      <c r="Y125">
        <f t="shared" si="24"/>
        <v>54.763362495903628</v>
      </c>
      <c r="AA125" s="10">
        <f t="shared" si="25"/>
        <v>8.3756978123726853</v>
      </c>
    </row>
    <row r="126" spans="1:27" x14ac:dyDescent="0.25">
      <c r="A126" s="2">
        <v>1</v>
      </c>
      <c r="B126" s="2">
        <v>6.9291479999999996</v>
      </c>
      <c r="C126" s="6">
        <v>3.6368889069837991</v>
      </c>
      <c r="D126" s="2">
        <v>-0.314</v>
      </c>
      <c r="E126" s="2">
        <v>4252</v>
      </c>
      <c r="F126" s="2">
        <v>1.238</v>
      </c>
      <c r="G126" s="2">
        <v>-0.36749999999999999</v>
      </c>
      <c r="H126" s="2">
        <v>6.7649999999999997</v>
      </c>
      <c r="I126" s="2">
        <v>0.81930000000000003</v>
      </c>
      <c r="J126" s="2">
        <v>0.4975</v>
      </c>
      <c r="K126" s="2">
        <v>615.70000000000005</v>
      </c>
      <c r="L126" s="2">
        <v>0.38830000000000003</v>
      </c>
      <c r="M126" s="2">
        <v>0.20399999999999999</v>
      </c>
      <c r="N126">
        <f t="shared" si="17"/>
        <v>1.238E-3</v>
      </c>
      <c r="O126" s="7">
        <f t="shared" si="13"/>
        <v>8494699.1027561538</v>
      </c>
      <c r="P126" s="7">
        <f t="shared" si="18"/>
        <v>268072316405137.59</v>
      </c>
      <c r="Q126">
        <f t="shared" si="19"/>
        <v>86206892000</v>
      </c>
      <c r="R126">
        <f t="shared" si="20"/>
        <v>42873653800000</v>
      </c>
      <c r="S126" s="1">
        <f t="shared" si="21"/>
        <v>1.9890000000000001E+33</v>
      </c>
      <c r="T126" s="1">
        <f t="shared" si="22"/>
        <v>9.8952750000000001E+32</v>
      </c>
      <c r="U126" s="8">
        <f t="shared" si="14"/>
        <v>2.3438396740989137E-14</v>
      </c>
      <c r="V126" s="11">
        <f t="shared" si="15"/>
        <v>3.0154277434019587E+54</v>
      </c>
      <c r="W126" s="1">
        <f t="shared" si="16"/>
        <v>5.7396597684459831E+54</v>
      </c>
      <c r="X126">
        <f t="shared" si="23"/>
        <v>54.479348926234998</v>
      </c>
      <c r="Y126">
        <f t="shared" si="24"/>
        <v>54.758886149355149</v>
      </c>
      <c r="AA126" s="10">
        <f t="shared" si="25"/>
        <v>8.4946991027561545</v>
      </c>
    </row>
    <row r="127" spans="1:27" x14ac:dyDescent="0.25">
      <c r="A127" s="2">
        <v>1</v>
      </c>
      <c r="B127" s="2">
        <v>6.941306</v>
      </c>
      <c r="C127" s="6">
        <v>3.6372895476781744</v>
      </c>
      <c r="D127" s="2">
        <v>-0.318</v>
      </c>
      <c r="E127" s="2">
        <v>4259</v>
      </c>
      <c r="F127" s="2">
        <v>1.2290000000000001</v>
      </c>
      <c r="G127" s="2">
        <v>-0.37569999999999998</v>
      </c>
      <c r="H127" s="2">
        <v>6.7690000000000001</v>
      </c>
      <c r="I127" s="2">
        <v>0.8367</v>
      </c>
      <c r="J127" s="2">
        <v>0.50870000000000004</v>
      </c>
      <c r="K127" s="2">
        <v>617</v>
      </c>
      <c r="L127" s="2">
        <v>0.38539999999999996</v>
      </c>
      <c r="M127" s="2">
        <v>0.20760000000000001</v>
      </c>
      <c r="N127">
        <f t="shared" si="17"/>
        <v>1.2290000000000001E-3</v>
      </c>
      <c r="O127" s="7">
        <f t="shared" si="13"/>
        <v>8735866.7293468751</v>
      </c>
      <c r="P127" s="7">
        <f t="shared" si="18"/>
        <v>275682987898036.94</v>
      </c>
      <c r="Q127">
        <f t="shared" si="19"/>
        <v>85580186000</v>
      </c>
      <c r="R127">
        <f t="shared" si="20"/>
        <v>42964178000000</v>
      </c>
      <c r="S127" s="1">
        <f t="shared" si="21"/>
        <v>1.9890000000000001E+33</v>
      </c>
      <c r="T127" s="1">
        <f t="shared" si="22"/>
        <v>1.0118043000000001E+33</v>
      </c>
      <c r="U127" s="8">
        <f t="shared" si="14"/>
        <v>2.2791342168358469E-14</v>
      </c>
      <c r="V127" s="11">
        <f t="shared" si="15"/>
        <v>3.0241865976386561E+54</v>
      </c>
      <c r="W127" s="1">
        <f t="shared" si="16"/>
        <v>5.6142654852116463E+54</v>
      </c>
      <c r="X127">
        <f t="shared" si="23"/>
        <v>54.480608584390232</v>
      </c>
      <c r="Y127">
        <f t="shared" si="24"/>
        <v>54.749292945533242</v>
      </c>
      <c r="AA127" s="10">
        <f t="shared" si="25"/>
        <v>8.7358667293468759</v>
      </c>
    </row>
    <row r="128" spans="1:27" x14ac:dyDescent="0.25">
      <c r="A128" s="2">
        <v>1</v>
      </c>
      <c r="B128" s="2">
        <v>6.9533370000000003</v>
      </c>
      <c r="C128" s="6">
        <v>3.6376898191184011</v>
      </c>
      <c r="D128" s="2">
        <v>-0.32300000000000001</v>
      </c>
      <c r="E128" s="2">
        <v>4265</v>
      </c>
      <c r="F128" s="2">
        <v>1.22</v>
      </c>
      <c r="G128" s="2">
        <v>-0.3851</v>
      </c>
      <c r="H128" s="2">
        <v>6.7720000000000002</v>
      </c>
      <c r="I128" s="2">
        <v>0.85409999999999997</v>
      </c>
      <c r="J128" s="2">
        <v>0.51990000000000003</v>
      </c>
      <c r="K128" s="2">
        <v>618.29999999999995</v>
      </c>
      <c r="L128" s="2">
        <v>0.38230000000000003</v>
      </c>
      <c r="M128" s="2">
        <v>0.21109999999999998</v>
      </c>
      <c r="N128">
        <f t="shared" si="17"/>
        <v>1.2199999999999999E-3</v>
      </c>
      <c r="O128" s="7">
        <f t="shared" si="13"/>
        <v>8981254.4363296721</v>
      </c>
      <c r="P128" s="7">
        <f t="shared" si="18"/>
        <v>283426834999917.25</v>
      </c>
      <c r="Q128">
        <f t="shared" si="19"/>
        <v>84953480000</v>
      </c>
      <c r="R128">
        <f t="shared" si="20"/>
        <v>43054702200000</v>
      </c>
      <c r="S128" s="1">
        <f t="shared" si="21"/>
        <v>1.9890000000000001E+33</v>
      </c>
      <c r="T128" s="1">
        <f t="shared" si="22"/>
        <v>1.0340811E+33</v>
      </c>
      <c r="U128" s="8">
        <f t="shared" si="14"/>
        <v>2.2168632363909439E-14</v>
      </c>
      <c r="V128" s="11">
        <f t="shared" si="15"/>
        <v>3.0302981737777701E+54</v>
      </c>
      <c r="W128" s="1">
        <f t="shared" si="16"/>
        <v>5.4878398476325984E+54</v>
      </c>
      <c r="X128">
        <f t="shared" si="23"/>
        <v>54.481485364098056</v>
      </c>
      <c r="Y128">
        <f t="shared" si="24"/>
        <v>54.73940142880943</v>
      </c>
      <c r="AA128" s="10">
        <f t="shared" si="25"/>
        <v>8.9812544363296727</v>
      </c>
    </row>
    <row r="129" spans="1:27" x14ac:dyDescent="0.25">
      <c r="A129" s="2">
        <v>1</v>
      </c>
      <c r="B129" s="2">
        <v>6.9593040000000004</v>
      </c>
      <c r="C129" s="6">
        <v>3.6378898165807905</v>
      </c>
      <c r="D129" s="2">
        <v>-0.32500000000000001</v>
      </c>
      <c r="E129" s="2">
        <v>4268</v>
      </c>
      <c r="F129" s="2">
        <v>1.216</v>
      </c>
      <c r="G129" s="2">
        <v>-0.38829999999999998</v>
      </c>
      <c r="H129" s="2">
        <v>6.774</v>
      </c>
      <c r="I129" s="2">
        <v>0.86280000000000001</v>
      </c>
      <c r="J129" s="2">
        <v>0.52549999999999997</v>
      </c>
      <c r="K129" s="2">
        <v>619</v>
      </c>
      <c r="L129" s="2">
        <v>0.38069999999999998</v>
      </c>
      <c r="M129" s="2">
        <v>0.21290000000000001</v>
      </c>
      <c r="N129">
        <f t="shared" si="17"/>
        <v>1.2160000000000001E-3</v>
      </c>
      <c r="O129" s="7">
        <f t="shared" si="13"/>
        <v>9105504.2203622218</v>
      </c>
      <c r="P129" s="7">
        <f t="shared" si="18"/>
        <v>287347859984502.88</v>
      </c>
      <c r="Q129">
        <f t="shared" si="19"/>
        <v>84674944000</v>
      </c>
      <c r="R129">
        <f t="shared" si="20"/>
        <v>43103446000000</v>
      </c>
      <c r="S129" s="1">
        <f t="shared" si="21"/>
        <v>1.9890000000000001E+33</v>
      </c>
      <c r="T129" s="1">
        <f t="shared" si="22"/>
        <v>1.0452195E+33</v>
      </c>
      <c r="U129" s="8">
        <f t="shared" si="14"/>
        <v>2.1866128766431213E-14</v>
      </c>
      <c r="V129" s="11">
        <f t="shared" si="15"/>
        <v>3.0361294243309034E+54</v>
      </c>
      <c r="W129" s="1">
        <f t="shared" si="16"/>
        <v>5.4290956873779935E+54</v>
      </c>
      <c r="X129">
        <f t="shared" si="23"/>
        <v>54.48232028075266</v>
      </c>
      <c r="Y129">
        <f t="shared" si="24"/>
        <v>54.734727496128698</v>
      </c>
      <c r="AA129" s="10">
        <f t="shared" si="25"/>
        <v>9.1055042203622225</v>
      </c>
    </row>
    <row r="130" spans="1:27" x14ac:dyDescent="0.25">
      <c r="A130" s="2">
        <v>1</v>
      </c>
      <c r="B130" s="2">
        <v>6.9711429999999996</v>
      </c>
      <c r="C130" s="6">
        <v>3.6383894076653358</v>
      </c>
      <c r="D130" s="2">
        <v>-0.32900000000000001</v>
      </c>
      <c r="E130" s="2">
        <v>4273</v>
      </c>
      <c r="F130" s="2">
        <v>1.208</v>
      </c>
      <c r="G130" s="2">
        <v>-0.39689999999999998</v>
      </c>
      <c r="H130" s="2">
        <v>6.7770000000000001</v>
      </c>
      <c r="I130" s="2">
        <v>0.88019999999999998</v>
      </c>
      <c r="J130" s="2">
        <v>0.53659999999999997</v>
      </c>
      <c r="K130" s="2">
        <v>620.29999999999995</v>
      </c>
      <c r="L130" s="2">
        <v>0.3775</v>
      </c>
      <c r="M130" s="2">
        <v>0.21640000000000001</v>
      </c>
      <c r="N130">
        <f t="shared" si="17"/>
        <v>1.2079999999999999E-3</v>
      </c>
      <c r="O130" s="7">
        <f t="shared" ref="O130:O193" si="26">10^B130</f>
        <v>9357137.2557681445</v>
      </c>
      <c r="P130" s="7">
        <f t="shared" si="18"/>
        <v>295288794662628.81</v>
      </c>
      <c r="Q130">
        <f t="shared" si="19"/>
        <v>84117871999.999985</v>
      </c>
      <c r="R130">
        <f t="shared" si="20"/>
        <v>43193970199999.992</v>
      </c>
      <c r="S130" s="1">
        <f t="shared" si="21"/>
        <v>1.9890000000000001E+33</v>
      </c>
      <c r="T130" s="1">
        <f t="shared" si="22"/>
        <v>1.0672973999999999E+33</v>
      </c>
      <c r="U130" s="8">
        <f t="shared" ref="U130:U193" si="27">(2*PI())/P130</f>
        <v>2.1278102727732032E-14</v>
      </c>
      <c r="V130" s="11">
        <f t="shared" ref="V130:V193" si="28">M130*S130*(Q130^2)</f>
        <v>3.045570060174768E+54</v>
      </c>
      <c r="W130" s="1">
        <f t="shared" ref="W130:W193" si="29">L130*S130*(Q130^2)</f>
        <v>5.3128590467466492E+54</v>
      </c>
      <c r="X130">
        <f t="shared" si="23"/>
        <v>54.48366859444566</v>
      </c>
      <c r="Y130">
        <f t="shared" si="24"/>
        <v>54.725328293976332</v>
      </c>
      <c r="AA130" s="10">
        <f t="shared" si="25"/>
        <v>9.3571372557681443</v>
      </c>
    </row>
    <row r="131" spans="1:27" x14ac:dyDescent="0.25">
      <c r="A131" s="2">
        <v>1</v>
      </c>
      <c r="B131" s="2">
        <v>6.9828520000000003</v>
      </c>
      <c r="C131" s="6">
        <v>3.6388884247050757</v>
      </c>
      <c r="D131" s="2">
        <v>-0.33200000000000002</v>
      </c>
      <c r="E131" s="2">
        <v>4279</v>
      </c>
      <c r="F131" s="2">
        <v>1.2</v>
      </c>
      <c r="G131" s="2">
        <v>-0.40450000000000003</v>
      </c>
      <c r="H131" s="2">
        <v>6.7809999999999997</v>
      </c>
      <c r="I131" s="2">
        <v>0.89759999999999995</v>
      </c>
      <c r="J131" s="2">
        <v>0.54779999999999995</v>
      </c>
      <c r="K131" s="2">
        <v>621.6</v>
      </c>
      <c r="L131" s="2">
        <v>0.37430000000000002</v>
      </c>
      <c r="M131" s="2">
        <v>0.21990000000000001</v>
      </c>
      <c r="N131">
        <f t="shared" ref="N131:N194" si="30">F131/(10^3)</f>
        <v>1.1999999999999999E-3</v>
      </c>
      <c r="O131" s="7">
        <f t="shared" si="26"/>
        <v>9612846.3348825444</v>
      </c>
      <c r="P131" s="7">
        <f t="shared" ref="P131:P194" si="31">O131*31557600</f>
        <v>303358359497689.38</v>
      </c>
      <c r="Q131">
        <f t="shared" ref="Q131:Q194" si="32">F131*6.9634*(10^10)</f>
        <v>83560800000</v>
      </c>
      <c r="R131">
        <f t="shared" ref="R131:R194" si="33">K131*6.9634*(10^10)</f>
        <v>43284494400000</v>
      </c>
      <c r="S131" s="1">
        <f t="shared" ref="S131:S194" si="34">A131*1.989*(10^33)</f>
        <v>1.9890000000000001E+33</v>
      </c>
      <c r="T131" s="1">
        <f t="shared" ref="T131:T194" si="35">J131*1.989*(10^33)</f>
        <v>1.0895741999999998E+33</v>
      </c>
      <c r="U131" s="8">
        <f t="shared" si="27"/>
        <v>2.0712088889139197E-14</v>
      </c>
      <c r="V131" s="11">
        <f t="shared" si="28"/>
        <v>3.0539729840524295E+54</v>
      </c>
      <c r="W131" s="1">
        <f t="shared" si="29"/>
        <v>5.1982814367022492E+54</v>
      </c>
      <c r="X131">
        <f t="shared" ref="X131:X194" si="36">LOG(V131)</f>
        <v>54.48486519089694</v>
      </c>
      <c r="Y131">
        <f t="shared" ref="Y131:Y194" si="37">LOG(W131)</f>
        <v>54.715859788650576</v>
      </c>
      <c r="AA131" s="10">
        <f t="shared" ref="AA131:AA194" si="38">O131/(1*1000000)</f>
        <v>9.6128463348825441</v>
      </c>
    </row>
    <row r="132" spans="1:27" x14ac:dyDescent="0.25">
      <c r="A132" s="2">
        <v>1</v>
      </c>
      <c r="B132" s="2">
        <v>6.9944329999999999</v>
      </c>
      <c r="C132" s="6">
        <v>3.6394864892685859</v>
      </c>
      <c r="D132" s="2">
        <v>-0.33600000000000002</v>
      </c>
      <c r="E132" s="2">
        <v>4285</v>
      </c>
      <c r="F132" s="2">
        <v>1.1919999999999999</v>
      </c>
      <c r="G132" s="2">
        <v>-0.41339999999999999</v>
      </c>
      <c r="H132" s="2">
        <v>6.7839999999999998</v>
      </c>
      <c r="I132" s="2">
        <v>0.91500000000000004</v>
      </c>
      <c r="J132" s="2">
        <v>0.5534</v>
      </c>
      <c r="K132" s="2">
        <v>619.1</v>
      </c>
      <c r="L132" s="2">
        <v>0.37230000000000002</v>
      </c>
      <c r="M132" s="2">
        <v>0.221</v>
      </c>
      <c r="N132">
        <f t="shared" si="30"/>
        <v>1.1919999999999999E-3</v>
      </c>
      <c r="O132" s="7">
        <f t="shared" si="26"/>
        <v>9872633.1572554484</v>
      </c>
      <c r="P132" s="7">
        <f t="shared" si="31"/>
        <v>311556608123404.56</v>
      </c>
      <c r="Q132">
        <f t="shared" si="32"/>
        <v>83003728000</v>
      </c>
      <c r="R132">
        <f t="shared" si="33"/>
        <v>43110409400000</v>
      </c>
      <c r="S132" s="1">
        <f t="shared" si="34"/>
        <v>1.9890000000000001E+33</v>
      </c>
      <c r="T132" s="1">
        <f t="shared" si="35"/>
        <v>1.1007125999999999E+33</v>
      </c>
      <c r="U132" s="8">
        <f t="shared" si="27"/>
        <v>2.0167074436408285E-14</v>
      </c>
      <c r="V132" s="11">
        <f t="shared" si="28"/>
        <v>3.0284628735056348E+54</v>
      </c>
      <c r="W132" s="1">
        <f t="shared" si="29"/>
        <v>5.1017951484441091E+54</v>
      </c>
      <c r="X132">
        <f t="shared" si="36"/>
        <v>54.481222253934448</v>
      </c>
      <c r="Y132">
        <f t="shared" si="37"/>
        <v>54.707723016467732</v>
      </c>
      <c r="AA132" s="10">
        <f t="shared" si="38"/>
        <v>9.8726331572554482</v>
      </c>
    </row>
    <row r="133" spans="1:27" x14ac:dyDescent="0.25">
      <c r="A133" s="2">
        <v>1</v>
      </c>
      <c r="B133" s="2">
        <v>7.0001740000000003</v>
      </c>
      <c r="C133" s="6">
        <v>3.63978521298682</v>
      </c>
      <c r="D133" s="2">
        <v>-0.33700000000000002</v>
      </c>
      <c r="E133" s="2">
        <v>4288</v>
      </c>
      <c r="F133" s="2">
        <v>1.1890000000000001</v>
      </c>
      <c r="G133" s="2">
        <v>-0.4168</v>
      </c>
      <c r="H133" s="2">
        <v>6.7859999999999996</v>
      </c>
      <c r="I133" s="2">
        <v>0.92369999999999997</v>
      </c>
      <c r="J133" s="2">
        <v>0.55900000000000005</v>
      </c>
      <c r="K133" s="2">
        <v>619.79999999999995</v>
      </c>
      <c r="L133" s="2">
        <v>0.37060000000000004</v>
      </c>
      <c r="M133" s="2">
        <v>0.22269999999999998</v>
      </c>
      <c r="N133">
        <f t="shared" si="30"/>
        <v>1.189E-3</v>
      </c>
      <c r="O133" s="7">
        <f t="shared" si="26"/>
        <v>10004007.300770354</v>
      </c>
      <c r="P133" s="7">
        <f t="shared" si="31"/>
        <v>315702460794790.5</v>
      </c>
      <c r="Q133">
        <f t="shared" si="32"/>
        <v>82794826000</v>
      </c>
      <c r="R133">
        <f t="shared" si="33"/>
        <v>43159153200000</v>
      </c>
      <c r="S133" s="1">
        <f t="shared" si="34"/>
        <v>1.9890000000000001E+33</v>
      </c>
      <c r="T133" s="1">
        <f t="shared" si="35"/>
        <v>1.111851E+33</v>
      </c>
      <c r="U133" s="8">
        <f t="shared" si="27"/>
        <v>1.9902237351465292E-14</v>
      </c>
      <c r="V133" s="11">
        <f t="shared" si="28"/>
        <v>3.0364168704143777E+54</v>
      </c>
      <c r="W133" s="1">
        <f t="shared" si="29"/>
        <v>5.0529685324453004E+54</v>
      </c>
      <c r="X133">
        <f t="shared" si="36"/>
        <v>54.482361395712324</v>
      </c>
      <c r="Y133">
        <f t="shared" si="37"/>
        <v>54.703546593661166</v>
      </c>
      <c r="AA133" s="10">
        <f t="shared" si="38"/>
        <v>10.004007300770354</v>
      </c>
    </row>
    <row r="134" spans="1:27" x14ac:dyDescent="0.25">
      <c r="A134" s="2">
        <v>1</v>
      </c>
      <c r="B134" s="2">
        <v>7.0115619999999996</v>
      </c>
      <c r="C134" s="6">
        <v>3.6403820447095683</v>
      </c>
      <c r="D134" s="2">
        <v>-0.34</v>
      </c>
      <c r="E134" s="2">
        <v>4293</v>
      </c>
      <c r="F134" s="2">
        <v>1.181</v>
      </c>
      <c r="G134" s="2">
        <v>-0.42480000000000001</v>
      </c>
      <c r="H134" s="2">
        <v>6.7889999999999997</v>
      </c>
      <c r="I134" s="2">
        <v>0.94120000000000004</v>
      </c>
      <c r="J134" s="2">
        <v>0.57020000000000004</v>
      </c>
      <c r="K134" s="2">
        <v>621.20000000000005</v>
      </c>
      <c r="L134" s="2">
        <v>0.36710000000000004</v>
      </c>
      <c r="M134" s="2">
        <v>0.2261</v>
      </c>
      <c r="N134">
        <f t="shared" si="30"/>
        <v>1.181E-3</v>
      </c>
      <c r="O134" s="7">
        <f t="shared" si="26"/>
        <v>10269800.331561444</v>
      </c>
      <c r="P134" s="7">
        <f t="shared" si="31"/>
        <v>324090250943283.44</v>
      </c>
      <c r="Q134">
        <f t="shared" si="32"/>
        <v>82237754000.000015</v>
      </c>
      <c r="R134">
        <f t="shared" si="33"/>
        <v>43256640800000.008</v>
      </c>
      <c r="S134" s="1">
        <f t="shared" si="34"/>
        <v>1.9890000000000001E+33</v>
      </c>
      <c r="T134" s="1">
        <f t="shared" si="35"/>
        <v>1.1341278000000001E+33</v>
      </c>
      <c r="U134" s="8">
        <f t="shared" si="27"/>
        <v>1.9387146910133864E-14</v>
      </c>
      <c r="V134" s="11">
        <f t="shared" si="28"/>
        <v>3.0414300112007042E+54</v>
      </c>
      <c r="W134" s="1">
        <f t="shared" si="29"/>
        <v>4.938120111064921E+54</v>
      </c>
      <c r="X134">
        <f t="shared" si="36"/>
        <v>54.48307782701329</v>
      </c>
      <c r="Y134">
        <f t="shared" si="37"/>
        <v>54.693561649171919</v>
      </c>
      <c r="AA134" s="10">
        <f t="shared" si="38"/>
        <v>10.269800331561445</v>
      </c>
    </row>
    <row r="135" spans="1:27" x14ac:dyDescent="0.25">
      <c r="A135" s="2">
        <v>1</v>
      </c>
      <c r="B135" s="2">
        <v>7.0228159999999997</v>
      </c>
      <c r="C135" s="6">
        <v>3.6409780573583319</v>
      </c>
      <c r="D135" s="2">
        <v>-0.34300000000000003</v>
      </c>
      <c r="E135" s="2">
        <v>4298</v>
      </c>
      <c r="F135" s="2">
        <v>1.1739999999999999</v>
      </c>
      <c r="G135" s="2">
        <v>-0.43180000000000002</v>
      </c>
      <c r="H135" s="2">
        <v>6.7930000000000001</v>
      </c>
      <c r="I135" s="2">
        <v>0.95860000000000001</v>
      </c>
      <c r="J135" s="2">
        <v>0.58140000000000003</v>
      </c>
      <c r="K135" s="2">
        <v>622.70000000000005</v>
      </c>
      <c r="L135" s="2">
        <v>0.36360000000000003</v>
      </c>
      <c r="M135" s="2">
        <v>0.22939999999999999</v>
      </c>
      <c r="N135">
        <f t="shared" si="30"/>
        <v>1.1739999999999999E-3</v>
      </c>
      <c r="O135" s="7">
        <f t="shared" si="26"/>
        <v>10539402.729485018</v>
      </c>
      <c r="P135" s="7">
        <f t="shared" si="31"/>
        <v>332598255575996.44</v>
      </c>
      <c r="Q135">
        <f t="shared" si="32"/>
        <v>81750315999.999985</v>
      </c>
      <c r="R135">
        <f t="shared" si="33"/>
        <v>43361091800000</v>
      </c>
      <c r="S135" s="1">
        <f t="shared" si="34"/>
        <v>1.9890000000000001E+33</v>
      </c>
      <c r="T135" s="1">
        <f t="shared" si="35"/>
        <v>1.1564046E+33</v>
      </c>
      <c r="U135" s="8">
        <f t="shared" si="27"/>
        <v>1.8891215458416382E-14</v>
      </c>
      <c r="V135" s="11">
        <f t="shared" si="28"/>
        <v>3.0493486091198764E+54</v>
      </c>
      <c r="W135" s="1">
        <f t="shared" si="29"/>
        <v>4.8332308381690813E+54</v>
      </c>
      <c r="X135">
        <f t="shared" si="36"/>
        <v>54.484207076829342</v>
      </c>
      <c r="Y135">
        <f t="shared" si="37"/>
        <v>54.68423753781402</v>
      </c>
      <c r="AA135" s="10">
        <f t="shared" si="38"/>
        <v>10.539402729485019</v>
      </c>
    </row>
    <row r="136" spans="1:27" x14ac:dyDescent="0.25">
      <c r="A136" s="2">
        <v>1</v>
      </c>
      <c r="B136" s="2">
        <v>7.0339460000000003</v>
      </c>
      <c r="C136" s="6">
        <v>3.6416723732246865</v>
      </c>
      <c r="D136" s="2">
        <v>-0.34499999999999997</v>
      </c>
      <c r="E136" s="2">
        <v>4303</v>
      </c>
      <c r="F136" s="2">
        <v>1.167</v>
      </c>
      <c r="G136" s="2">
        <v>-0.43890000000000001</v>
      </c>
      <c r="H136" s="2">
        <v>6.7960000000000003</v>
      </c>
      <c r="I136" s="2">
        <v>0.97599999999999998</v>
      </c>
      <c r="J136" s="2">
        <v>0.59260000000000002</v>
      </c>
      <c r="K136" s="2">
        <v>624.20000000000005</v>
      </c>
      <c r="L136" s="2">
        <v>0.36</v>
      </c>
      <c r="M136" s="2">
        <v>0.23269999999999999</v>
      </c>
      <c r="N136">
        <f t="shared" si="30"/>
        <v>1.1670000000000001E-3</v>
      </c>
      <c r="O136" s="7">
        <f t="shared" si="26"/>
        <v>10812994.945977131</v>
      </c>
      <c r="P136" s="7">
        <f t="shared" si="31"/>
        <v>341232169307167.88</v>
      </c>
      <c r="Q136">
        <f t="shared" si="32"/>
        <v>81262878000</v>
      </c>
      <c r="R136">
        <f t="shared" si="33"/>
        <v>43465542800000</v>
      </c>
      <c r="S136" s="1">
        <f t="shared" si="34"/>
        <v>1.9890000000000001E+33</v>
      </c>
      <c r="T136" s="1">
        <f t="shared" si="35"/>
        <v>1.1786814000000001E+33</v>
      </c>
      <c r="U136" s="8">
        <f t="shared" si="27"/>
        <v>1.8413226748043308E-14</v>
      </c>
      <c r="V136" s="11">
        <f t="shared" si="28"/>
        <v>3.0564378190523228E+54</v>
      </c>
      <c r="W136" s="1">
        <f t="shared" si="29"/>
        <v>4.7284813702571389E+54</v>
      </c>
      <c r="X136">
        <f t="shared" si="36"/>
        <v>54.485215564818375</v>
      </c>
      <c r="Y136">
        <f t="shared" si="37"/>
        <v>54.67472168229893</v>
      </c>
      <c r="AA136" s="10">
        <f t="shared" si="38"/>
        <v>10.812994945977131</v>
      </c>
    </row>
    <row r="137" spans="1:27" x14ac:dyDescent="0.25">
      <c r="A137" s="2">
        <v>1</v>
      </c>
      <c r="B137" s="2">
        <v>7.0394579999999998</v>
      </c>
      <c r="C137" s="6">
        <v>3.6419695977020594</v>
      </c>
      <c r="D137" s="2">
        <v>-0.34599999999999997</v>
      </c>
      <c r="E137" s="2">
        <v>4306</v>
      </c>
      <c r="F137" s="2">
        <v>1.1639999999999999</v>
      </c>
      <c r="G137" s="2">
        <v>-0.4425</v>
      </c>
      <c r="H137" s="2">
        <v>6.798</v>
      </c>
      <c r="I137" s="2">
        <v>0.98470000000000002</v>
      </c>
      <c r="J137" s="2">
        <v>0.59819999999999995</v>
      </c>
      <c r="K137" s="2">
        <v>625</v>
      </c>
      <c r="L137" s="2">
        <v>0.35810000000000003</v>
      </c>
      <c r="M137" s="2">
        <v>0.23430000000000001</v>
      </c>
      <c r="N137">
        <f t="shared" si="30"/>
        <v>1.1639999999999999E-3</v>
      </c>
      <c r="O137" s="7">
        <f t="shared" si="26"/>
        <v>10951106.436569175</v>
      </c>
      <c r="P137" s="7">
        <f t="shared" si="31"/>
        <v>345590636482675.38</v>
      </c>
      <c r="Q137">
        <f t="shared" si="32"/>
        <v>81053976000</v>
      </c>
      <c r="R137">
        <f t="shared" si="33"/>
        <v>43521250000000</v>
      </c>
      <c r="S137" s="1">
        <f t="shared" si="34"/>
        <v>1.9890000000000001E+33</v>
      </c>
      <c r="T137" s="1">
        <f t="shared" si="35"/>
        <v>1.1898197999999999E+33</v>
      </c>
      <c r="U137" s="8">
        <f t="shared" si="27"/>
        <v>1.8181005628879548E-14</v>
      </c>
      <c r="V137" s="11">
        <f t="shared" si="28"/>
        <v>3.0616512470978734E+54</v>
      </c>
      <c r="W137" s="1">
        <f t="shared" si="29"/>
        <v>4.679373929089836E+54</v>
      </c>
      <c r="X137">
        <f t="shared" si="36"/>
        <v>54.485955718665601</v>
      </c>
      <c r="Y137">
        <f t="shared" si="37"/>
        <v>54.670187751080547</v>
      </c>
      <c r="AA137" s="10">
        <f t="shared" si="38"/>
        <v>10.951106436569175</v>
      </c>
    </row>
    <row r="138" spans="1:27" x14ac:dyDescent="0.25">
      <c r="A138" s="2">
        <v>1</v>
      </c>
      <c r="B138" s="2">
        <v>7.0503869999999997</v>
      </c>
      <c r="C138" s="6">
        <v>3.6427612032653203</v>
      </c>
      <c r="D138" s="2">
        <v>-0.34799999999999998</v>
      </c>
      <c r="E138" s="2">
        <v>4311</v>
      </c>
      <c r="F138" s="2">
        <v>1.157</v>
      </c>
      <c r="G138" s="2">
        <v>-0.4486</v>
      </c>
      <c r="H138" s="2">
        <v>6.8019999999999996</v>
      </c>
      <c r="I138" s="2">
        <v>10022</v>
      </c>
      <c r="J138" s="2">
        <v>0.60940000000000005</v>
      </c>
      <c r="K138" s="2">
        <v>626.70000000000005</v>
      </c>
      <c r="L138" s="2">
        <v>0.35439999999999999</v>
      </c>
      <c r="M138" s="2">
        <v>0.23760000000000001</v>
      </c>
      <c r="N138">
        <f t="shared" si="30"/>
        <v>1.157E-3</v>
      </c>
      <c r="O138" s="7">
        <f t="shared" si="26"/>
        <v>11230187.310374968</v>
      </c>
      <c r="P138" s="7">
        <f t="shared" si="31"/>
        <v>354397759065889.06</v>
      </c>
      <c r="Q138">
        <f t="shared" si="32"/>
        <v>80566538000</v>
      </c>
      <c r="R138">
        <f t="shared" si="33"/>
        <v>43639627800000.008</v>
      </c>
      <c r="S138" s="1">
        <f t="shared" si="34"/>
        <v>1.9890000000000001E+33</v>
      </c>
      <c r="T138" s="1">
        <f t="shared" si="35"/>
        <v>1.2120966000000001E+33</v>
      </c>
      <c r="U138" s="8">
        <f t="shared" si="27"/>
        <v>1.7729190285346661E-14</v>
      </c>
      <c r="V138" s="11">
        <f t="shared" si="28"/>
        <v>3.0675427484595371E+54</v>
      </c>
      <c r="W138" s="1">
        <f t="shared" si="29"/>
        <v>4.5754930557830806E+54</v>
      </c>
      <c r="X138">
        <f t="shared" si="36"/>
        <v>54.486790623653555</v>
      </c>
      <c r="Y138">
        <f t="shared" si="37"/>
        <v>54.660437900559415</v>
      </c>
      <c r="AA138" s="10">
        <f t="shared" si="38"/>
        <v>11.230187310374967</v>
      </c>
    </row>
    <row r="139" spans="1:27" x14ac:dyDescent="0.25">
      <c r="A139" s="2">
        <v>1</v>
      </c>
      <c r="B139" s="2">
        <v>7.061185</v>
      </c>
      <c r="C139" s="6">
        <v>3.643551368562945</v>
      </c>
      <c r="D139" s="2">
        <v>-0.35</v>
      </c>
      <c r="E139" s="2">
        <v>4315</v>
      </c>
      <c r="F139" s="2">
        <v>1.151</v>
      </c>
      <c r="G139" s="2">
        <v>-0.45350000000000001</v>
      </c>
      <c r="H139" s="2">
        <v>6.806</v>
      </c>
      <c r="I139" s="2">
        <v>10196</v>
      </c>
      <c r="J139" s="2">
        <v>0.62060000000000004</v>
      </c>
      <c r="K139" s="2">
        <v>628.4</v>
      </c>
      <c r="L139" s="2">
        <v>0.35049999999999998</v>
      </c>
      <c r="M139" s="2">
        <v>0.2407</v>
      </c>
      <c r="N139">
        <f t="shared" si="30"/>
        <v>1.1510000000000001E-3</v>
      </c>
      <c r="O139" s="7">
        <f t="shared" si="26"/>
        <v>11512907.09296735</v>
      </c>
      <c r="P139" s="7">
        <f t="shared" si="31"/>
        <v>363319716877026.44</v>
      </c>
      <c r="Q139">
        <f t="shared" si="32"/>
        <v>80148734000.000015</v>
      </c>
      <c r="R139">
        <f t="shared" si="33"/>
        <v>43758005600000</v>
      </c>
      <c r="S139" s="1">
        <f t="shared" si="34"/>
        <v>1.9890000000000001E+33</v>
      </c>
      <c r="T139" s="1">
        <f t="shared" si="35"/>
        <v>1.2343734000000002E+33</v>
      </c>
      <c r="U139" s="8">
        <f t="shared" si="27"/>
        <v>1.7293818681759758E-14</v>
      </c>
      <c r="V139" s="11">
        <f t="shared" si="28"/>
        <v>3.0754183899980629E+54</v>
      </c>
      <c r="W139" s="1">
        <f t="shared" si="29"/>
        <v>4.4783304765032033E+54</v>
      </c>
      <c r="X139">
        <f t="shared" si="36"/>
        <v>54.487904206975514</v>
      </c>
      <c r="Y139">
        <f t="shared" si="37"/>
        <v>54.651116139003165</v>
      </c>
      <c r="AA139" s="10">
        <f t="shared" si="38"/>
        <v>11.51290709296735</v>
      </c>
    </row>
    <row r="140" spans="1:27" x14ac:dyDescent="0.25">
      <c r="A140" s="2">
        <v>1</v>
      </c>
      <c r="B140" s="2">
        <v>7.0718529999999999</v>
      </c>
      <c r="C140" s="6">
        <v>3.6443400988263224</v>
      </c>
      <c r="D140" s="2">
        <v>-0.35099999999999998</v>
      </c>
      <c r="E140" s="2">
        <v>4320</v>
      </c>
      <c r="F140" s="2">
        <v>1.145</v>
      </c>
      <c r="G140" s="2">
        <v>-0.4597</v>
      </c>
      <c r="H140" s="2">
        <v>6.8090000000000002</v>
      </c>
      <c r="I140" s="2">
        <v>10370</v>
      </c>
      <c r="J140" s="2">
        <v>0.62619999999999998</v>
      </c>
      <c r="K140" s="2">
        <v>626.20000000000005</v>
      </c>
      <c r="L140" s="2">
        <v>0.34810000000000002</v>
      </c>
      <c r="M140" s="2">
        <v>0.24159999999999998</v>
      </c>
      <c r="N140">
        <f t="shared" si="30"/>
        <v>1.145E-3</v>
      </c>
      <c r="O140" s="7">
        <f t="shared" si="26"/>
        <v>11799211.883190261</v>
      </c>
      <c r="P140" s="7">
        <f t="shared" si="31"/>
        <v>372354808924965</v>
      </c>
      <c r="Q140">
        <f t="shared" si="32"/>
        <v>79730930000</v>
      </c>
      <c r="R140">
        <f t="shared" si="33"/>
        <v>43604810800000.008</v>
      </c>
      <c r="S140" s="1">
        <f t="shared" si="34"/>
        <v>1.9890000000000001E+33</v>
      </c>
      <c r="T140" s="1">
        <f t="shared" si="35"/>
        <v>1.2455118E+33</v>
      </c>
      <c r="U140" s="8">
        <f t="shared" si="27"/>
        <v>1.687418869470205E-14</v>
      </c>
      <c r="V140" s="11">
        <f t="shared" si="28"/>
        <v>3.0548182236573077E+54</v>
      </c>
      <c r="W140" s="1">
        <f t="shared" si="29"/>
        <v>4.4014164886386959E+54</v>
      </c>
      <c r="X140">
        <f t="shared" si="36"/>
        <v>54.484985372741811</v>
      </c>
      <c r="Y140">
        <f t="shared" si="37"/>
        <v>54.643592466077003</v>
      </c>
      <c r="AA140" s="10">
        <f t="shared" si="38"/>
        <v>11.799211883190262</v>
      </c>
    </row>
    <row r="141" spans="1:27" x14ac:dyDescent="0.25">
      <c r="A141" s="2">
        <v>1</v>
      </c>
      <c r="B141" s="2">
        <v>7.0823900000000002</v>
      </c>
      <c r="C141" s="6">
        <v>3.6452257115354163</v>
      </c>
      <c r="D141" s="2">
        <v>-0.35199999999999998</v>
      </c>
      <c r="E141" s="2">
        <v>4325</v>
      </c>
      <c r="F141" s="2">
        <v>1.139</v>
      </c>
      <c r="G141" s="2">
        <v>-0.4647</v>
      </c>
      <c r="H141" s="2">
        <v>6.8129999999999997</v>
      </c>
      <c r="I141" s="2">
        <v>10545</v>
      </c>
      <c r="J141" s="2">
        <v>0.63600000000000001</v>
      </c>
      <c r="K141" s="2">
        <v>627.1</v>
      </c>
      <c r="L141" s="2">
        <v>0.34449999999999997</v>
      </c>
      <c r="M141" s="2">
        <v>0.2442</v>
      </c>
      <c r="N141">
        <f t="shared" si="30"/>
        <v>1.139E-3</v>
      </c>
      <c r="O141" s="7">
        <f t="shared" si="26"/>
        <v>12088989.489658393</v>
      </c>
      <c r="P141" s="7">
        <f t="shared" si="31"/>
        <v>381499494718843.69</v>
      </c>
      <c r="Q141">
        <f t="shared" si="32"/>
        <v>79313126000</v>
      </c>
      <c r="R141">
        <f t="shared" si="33"/>
        <v>43667481400000.008</v>
      </c>
      <c r="S141" s="1">
        <f t="shared" si="34"/>
        <v>1.9890000000000001E+33</v>
      </c>
      <c r="T141" s="1">
        <f t="shared" si="35"/>
        <v>1.2650039999999999E+33</v>
      </c>
      <c r="U141" s="8">
        <f t="shared" si="27"/>
        <v>1.6469708070806618E-14</v>
      </c>
      <c r="V141" s="11">
        <f t="shared" si="28"/>
        <v>3.0554176088696759E+54</v>
      </c>
      <c r="W141" s="1">
        <f t="shared" si="29"/>
        <v>4.3103659551826507E+54</v>
      </c>
      <c r="X141">
        <f t="shared" si="36"/>
        <v>54.485070577207964</v>
      </c>
      <c r="Y141">
        <f t="shared" si="37"/>
        <v>54.63451414384275</v>
      </c>
      <c r="AA141" s="10">
        <f t="shared" si="38"/>
        <v>12.088989489658394</v>
      </c>
    </row>
    <row r="142" spans="1:27" x14ac:dyDescent="0.25">
      <c r="A142" s="2">
        <v>1</v>
      </c>
      <c r="B142" s="2">
        <v>7.0927939999999996</v>
      </c>
      <c r="C142" s="6">
        <v>3.6461095219788477</v>
      </c>
      <c r="D142" s="2">
        <v>-0.35299999999999998</v>
      </c>
      <c r="E142" s="2">
        <v>4329</v>
      </c>
      <c r="F142" s="2">
        <v>1.133</v>
      </c>
      <c r="G142" s="2">
        <v>-0.4698</v>
      </c>
      <c r="H142" s="2">
        <v>6.8170000000000002</v>
      </c>
      <c r="I142" s="2">
        <v>10719</v>
      </c>
      <c r="J142" s="2">
        <v>0.64580000000000004</v>
      </c>
      <c r="K142" s="2">
        <v>628</v>
      </c>
      <c r="L142" s="2">
        <v>0.34079999999999999</v>
      </c>
      <c r="M142" s="2">
        <v>0.24669999999999997</v>
      </c>
      <c r="N142">
        <f t="shared" si="30"/>
        <v>1.1330000000000001E-3</v>
      </c>
      <c r="O142" s="7">
        <f t="shared" si="26"/>
        <v>12382091.24349595</v>
      </c>
      <c r="P142" s="7">
        <f t="shared" si="31"/>
        <v>390749082625747.81</v>
      </c>
      <c r="Q142">
        <f t="shared" si="32"/>
        <v>78895322000</v>
      </c>
      <c r="R142">
        <f t="shared" si="33"/>
        <v>43730152000000</v>
      </c>
      <c r="S142" s="1">
        <f t="shared" si="34"/>
        <v>1.9890000000000001E+33</v>
      </c>
      <c r="T142" s="1">
        <f t="shared" si="35"/>
        <v>1.2844962000000001E+33</v>
      </c>
      <c r="U142" s="8">
        <f t="shared" si="27"/>
        <v>1.6079846598635534E-14</v>
      </c>
      <c r="V142" s="11">
        <f t="shared" si="28"/>
        <v>3.0542630534263251E+54</v>
      </c>
      <c r="W142" s="1">
        <f t="shared" si="29"/>
        <v>4.219265701693116E+54</v>
      </c>
      <c r="X142">
        <f t="shared" si="36"/>
        <v>54.484906438657433</v>
      </c>
      <c r="Y142">
        <f t="shared" si="37"/>
        <v>54.62523687526236</v>
      </c>
      <c r="AA142" s="10">
        <f t="shared" si="38"/>
        <v>12.382091243495951</v>
      </c>
    </row>
    <row r="143" spans="1:27" x14ac:dyDescent="0.25">
      <c r="A143" s="2">
        <v>1</v>
      </c>
      <c r="B143" s="2">
        <v>7.1030639999999998</v>
      </c>
      <c r="C143" s="6">
        <v>3.6470894287165549</v>
      </c>
      <c r="D143" s="2">
        <v>-0.35399999999999998</v>
      </c>
      <c r="E143" s="2">
        <v>4333</v>
      </c>
      <c r="F143" s="2">
        <v>1.1279999999999999</v>
      </c>
      <c r="G143" s="2">
        <v>-0.47370000000000001</v>
      </c>
      <c r="H143" s="2">
        <v>6.8209999999999997</v>
      </c>
      <c r="I143" s="2">
        <v>10894</v>
      </c>
      <c r="J143" s="2">
        <v>0.65559999999999996</v>
      </c>
      <c r="K143" s="2">
        <v>629.1</v>
      </c>
      <c r="L143" s="2">
        <v>0.33710000000000001</v>
      </c>
      <c r="M143" s="2">
        <v>0.24909999999999999</v>
      </c>
      <c r="N143">
        <f t="shared" si="30"/>
        <v>1.1279999999999999E-3</v>
      </c>
      <c r="O143" s="7">
        <f t="shared" si="26"/>
        <v>12678386.877055749</v>
      </c>
      <c r="P143" s="7">
        <f t="shared" si="31"/>
        <v>400099461711374.5</v>
      </c>
      <c r="Q143">
        <f t="shared" si="32"/>
        <v>78547152000</v>
      </c>
      <c r="R143">
        <f t="shared" si="33"/>
        <v>43806749400000</v>
      </c>
      <c r="S143" s="1">
        <f t="shared" si="34"/>
        <v>1.9890000000000001E+33</v>
      </c>
      <c r="T143" s="1">
        <f t="shared" si="35"/>
        <v>1.3039883999999999E+33</v>
      </c>
      <c r="U143" s="8">
        <f t="shared" si="27"/>
        <v>1.5704058386642313E-14</v>
      </c>
      <c r="V143" s="11">
        <f t="shared" si="28"/>
        <v>3.0568166925936508E+54</v>
      </c>
      <c r="W143" s="1">
        <f t="shared" si="29"/>
        <v>4.1367037618358882E+54</v>
      </c>
      <c r="X143">
        <f t="shared" si="36"/>
        <v>54.485269396272052</v>
      </c>
      <c r="Y143">
        <f t="shared" si="37"/>
        <v>54.61665442125652</v>
      </c>
      <c r="AA143" s="10">
        <f t="shared" si="38"/>
        <v>12.678386877055749</v>
      </c>
    </row>
    <row r="144" spans="1:27" x14ac:dyDescent="0.25">
      <c r="A144" s="2">
        <v>1</v>
      </c>
      <c r="B144" s="2">
        <v>7.1132080000000002</v>
      </c>
      <c r="C144" s="6">
        <v>3.6480671294489349</v>
      </c>
      <c r="D144" s="2">
        <v>-0.35399999999999998</v>
      </c>
      <c r="E144" s="2">
        <v>4337</v>
      </c>
      <c r="F144" s="2">
        <v>1.123</v>
      </c>
      <c r="G144" s="2">
        <v>-0.47760000000000002</v>
      </c>
      <c r="H144" s="2">
        <v>6.8239999999999998</v>
      </c>
      <c r="I144" s="2">
        <v>11068</v>
      </c>
      <c r="J144" s="2">
        <v>0.67100000000000004</v>
      </c>
      <c r="K144" s="2">
        <v>634.4</v>
      </c>
      <c r="L144" s="2">
        <v>0.33139999999999997</v>
      </c>
      <c r="M144" s="2">
        <v>0.25390000000000001</v>
      </c>
      <c r="N144">
        <f t="shared" si="30"/>
        <v>1.1230000000000001E-3</v>
      </c>
      <c r="O144" s="7">
        <f t="shared" si="26"/>
        <v>12978006.878377374</v>
      </c>
      <c r="P144" s="7">
        <f t="shared" si="31"/>
        <v>409554749865081.81</v>
      </c>
      <c r="Q144">
        <f t="shared" si="32"/>
        <v>78198982000</v>
      </c>
      <c r="R144">
        <f t="shared" si="33"/>
        <v>44175809600000</v>
      </c>
      <c r="S144" s="1">
        <f t="shared" si="34"/>
        <v>1.9890000000000001E+33</v>
      </c>
      <c r="T144" s="1">
        <f t="shared" si="35"/>
        <v>1.3346190000000001E+33</v>
      </c>
      <c r="U144" s="8">
        <f t="shared" si="27"/>
        <v>1.5341502715447529E-14</v>
      </c>
      <c r="V144" s="11">
        <f t="shared" si="28"/>
        <v>3.0881592139209234E+54</v>
      </c>
      <c r="W144" s="1">
        <f t="shared" si="29"/>
        <v>4.0307836293556271E+54</v>
      </c>
      <c r="X144">
        <f t="shared" si="36"/>
        <v>54.489699682837539</v>
      </c>
      <c r="Y144">
        <f t="shared" si="37"/>
        <v>54.605389486047137</v>
      </c>
      <c r="AA144" s="10">
        <f t="shared" si="38"/>
        <v>12.978006878377375</v>
      </c>
    </row>
    <row r="145" spans="1:27" x14ac:dyDescent="0.25">
      <c r="A145" s="2">
        <v>1</v>
      </c>
      <c r="B145" s="2">
        <v>7.123221</v>
      </c>
      <c r="C145" s="6">
        <v>3.6490426340861766</v>
      </c>
      <c r="D145" s="2">
        <v>-0.35299999999999998</v>
      </c>
      <c r="E145" s="2">
        <v>4341</v>
      </c>
      <c r="F145" s="2">
        <v>1.1180000000000001</v>
      </c>
      <c r="G145" s="2">
        <v>-0.48149999999999998</v>
      </c>
      <c r="H145" s="2">
        <v>6.8280000000000003</v>
      </c>
      <c r="I145" s="2">
        <v>11243</v>
      </c>
      <c r="J145" s="2">
        <v>0.67659999999999998</v>
      </c>
      <c r="K145" s="2">
        <v>632.5</v>
      </c>
      <c r="L145" s="2">
        <v>0.32880000000000004</v>
      </c>
      <c r="M145" s="2">
        <v>0.2545</v>
      </c>
      <c r="N145">
        <f t="shared" si="30"/>
        <v>1.1180000000000001E-3</v>
      </c>
      <c r="O145" s="7">
        <f t="shared" si="26"/>
        <v>13280701.025739864</v>
      </c>
      <c r="P145" s="7">
        <f t="shared" si="31"/>
        <v>419107050689888.31</v>
      </c>
      <c r="Q145">
        <f t="shared" si="32"/>
        <v>77850812000</v>
      </c>
      <c r="R145">
        <f t="shared" si="33"/>
        <v>44043505000000.008</v>
      </c>
      <c r="S145" s="1">
        <f t="shared" si="34"/>
        <v>1.9890000000000001E+33</v>
      </c>
      <c r="T145" s="1">
        <f t="shared" si="35"/>
        <v>1.3457574000000001E+33</v>
      </c>
      <c r="U145" s="8">
        <f t="shared" si="27"/>
        <v>1.4991838712417013E-14</v>
      </c>
      <c r="V145" s="11">
        <f t="shared" si="28"/>
        <v>3.0679541382643049E+54</v>
      </c>
      <c r="W145" s="1">
        <f t="shared" si="29"/>
        <v>3.9636279790228033E+54</v>
      </c>
      <c r="X145">
        <f t="shared" si="36"/>
        <v>54.48684886321449</v>
      </c>
      <c r="Y145">
        <f t="shared" si="37"/>
        <v>54.598092885409727</v>
      </c>
      <c r="AA145" s="10">
        <f t="shared" si="38"/>
        <v>13.280701025739864</v>
      </c>
    </row>
    <row r="146" spans="1:27" x14ac:dyDescent="0.25">
      <c r="A146" s="2">
        <v>1</v>
      </c>
      <c r="B146" s="2">
        <v>7.1331040000000003</v>
      </c>
      <c r="C146" s="6">
        <v>3.6501131644435714</v>
      </c>
      <c r="D146" s="2">
        <v>-0.35299999999999998</v>
      </c>
      <c r="E146" s="2">
        <v>4345</v>
      </c>
      <c r="F146" s="2">
        <v>1.113</v>
      </c>
      <c r="G146" s="2">
        <v>-0.48549999999999999</v>
      </c>
      <c r="H146" s="2">
        <v>6.8319999999999999</v>
      </c>
      <c r="I146" s="2">
        <v>11418</v>
      </c>
      <c r="J146" s="2">
        <v>0.68779999999999997</v>
      </c>
      <c r="K146" s="2">
        <v>635</v>
      </c>
      <c r="L146" s="2">
        <v>0.32430000000000003</v>
      </c>
      <c r="M146" s="2">
        <v>0.25750000000000001</v>
      </c>
      <c r="N146">
        <f t="shared" si="30"/>
        <v>1.1130000000000001E-3</v>
      </c>
      <c r="O146" s="7">
        <f t="shared" si="26"/>
        <v>13586387.59295278</v>
      </c>
      <c r="P146" s="7">
        <f t="shared" si="31"/>
        <v>428753785103366.69</v>
      </c>
      <c r="Q146">
        <f t="shared" si="32"/>
        <v>77502642000</v>
      </c>
      <c r="R146">
        <f t="shared" si="33"/>
        <v>44217590000000</v>
      </c>
      <c r="S146" s="1">
        <f t="shared" si="34"/>
        <v>1.9890000000000001E+33</v>
      </c>
      <c r="T146" s="1">
        <f t="shared" si="35"/>
        <v>1.3680342E+33</v>
      </c>
      <c r="U146" s="8">
        <f t="shared" si="27"/>
        <v>1.4654530235027069E-14</v>
      </c>
      <c r="V146" s="11">
        <f t="shared" si="28"/>
        <v>3.0764157881629387E+54</v>
      </c>
      <c r="W146" s="1">
        <f t="shared" si="29"/>
        <v>3.8744918062184124E+54</v>
      </c>
      <c r="X146">
        <f t="shared" si="36"/>
        <v>54.48804503148753</v>
      </c>
      <c r="Y146">
        <f t="shared" si="37"/>
        <v>54.588214746783294</v>
      </c>
      <c r="AA146" s="10">
        <f t="shared" si="38"/>
        <v>13.58638759295278</v>
      </c>
    </row>
    <row r="147" spans="1:27" x14ac:dyDescent="0.25">
      <c r="A147" s="2">
        <v>1</v>
      </c>
      <c r="B147" s="2">
        <v>7.142855</v>
      </c>
      <c r="C147" s="6">
        <v>3.651278013998144</v>
      </c>
      <c r="D147" s="2">
        <v>-0.35199999999999998</v>
      </c>
      <c r="E147" s="2">
        <v>4348</v>
      </c>
      <c r="F147" s="2">
        <v>1.1080000000000001</v>
      </c>
      <c r="G147" s="2">
        <v>-0.48809999999999998</v>
      </c>
      <c r="H147" s="2">
        <v>6.8360000000000003</v>
      </c>
      <c r="I147" s="2">
        <v>11592</v>
      </c>
      <c r="J147" s="2">
        <v>0.69899999999999995</v>
      </c>
      <c r="K147" s="2">
        <v>637.6</v>
      </c>
      <c r="L147" s="2">
        <v>0.3196</v>
      </c>
      <c r="M147" s="2">
        <v>0.26039999999999996</v>
      </c>
      <c r="N147">
        <f t="shared" si="30"/>
        <v>1.108E-3</v>
      </c>
      <c r="O147" s="7">
        <f t="shared" si="26"/>
        <v>13894886.384651683</v>
      </c>
      <c r="P147" s="7">
        <f t="shared" si="31"/>
        <v>438489266572283.94</v>
      </c>
      <c r="Q147">
        <f t="shared" si="32"/>
        <v>77154472000</v>
      </c>
      <c r="R147">
        <f t="shared" si="33"/>
        <v>44398638400000</v>
      </c>
      <c r="S147" s="1">
        <f t="shared" si="34"/>
        <v>1.9890000000000001E+33</v>
      </c>
      <c r="T147" s="1">
        <f t="shared" si="35"/>
        <v>1.3903109999999999E+33</v>
      </c>
      <c r="U147" s="8">
        <f t="shared" si="27"/>
        <v>1.4329165583221448E-14</v>
      </c>
      <c r="V147" s="11">
        <f t="shared" si="28"/>
        <v>3.0831735395639761E+54</v>
      </c>
      <c r="W147" s="1">
        <f t="shared" si="29"/>
        <v>3.7841100739041742E+54</v>
      </c>
      <c r="X147">
        <f t="shared" si="36"/>
        <v>54.488997970121879</v>
      </c>
      <c r="Y147">
        <f t="shared" si="37"/>
        <v>54.577963760867675</v>
      </c>
      <c r="AA147" s="10">
        <f t="shared" si="38"/>
        <v>13.894886384651683</v>
      </c>
    </row>
    <row r="148" spans="1:27" x14ac:dyDescent="0.25">
      <c r="A148" s="2">
        <v>1</v>
      </c>
      <c r="B148" s="2">
        <v>7.1524780000000003</v>
      </c>
      <c r="C148" s="6">
        <v>3.6523430550627149</v>
      </c>
      <c r="D148" s="2">
        <v>-0.35099999999999998</v>
      </c>
      <c r="E148" s="2">
        <v>4352</v>
      </c>
      <c r="F148" s="2">
        <v>1.1040000000000001</v>
      </c>
      <c r="G148" s="2">
        <v>-0.49080000000000001</v>
      </c>
      <c r="H148" s="2">
        <v>6.84</v>
      </c>
      <c r="I148" s="2">
        <v>11767</v>
      </c>
      <c r="J148" s="2">
        <v>0.7046</v>
      </c>
      <c r="K148" s="2">
        <v>636</v>
      </c>
      <c r="L148" s="2">
        <v>0.31689999999999996</v>
      </c>
      <c r="M148" s="2">
        <v>0.26089999999999997</v>
      </c>
      <c r="N148">
        <f t="shared" si="30"/>
        <v>1.1040000000000002E-3</v>
      </c>
      <c r="O148" s="7">
        <f t="shared" si="26"/>
        <v>14206202.46859346</v>
      </c>
      <c r="P148" s="7">
        <f t="shared" si="31"/>
        <v>448313655022884.94</v>
      </c>
      <c r="Q148">
        <f t="shared" si="32"/>
        <v>76875936000</v>
      </c>
      <c r="R148">
        <f t="shared" si="33"/>
        <v>44287224000000</v>
      </c>
      <c r="S148" s="1">
        <f t="shared" si="34"/>
        <v>1.9890000000000001E+33</v>
      </c>
      <c r="T148" s="1">
        <f t="shared" si="35"/>
        <v>1.4014494000000002E+33</v>
      </c>
      <c r="U148" s="8">
        <f t="shared" si="27"/>
        <v>1.4015154873787752E-14</v>
      </c>
      <c r="V148" s="11">
        <f t="shared" si="28"/>
        <v>3.0668299464431359E+54</v>
      </c>
      <c r="W148" s="1">
        <f t="shared" si="29"/>
        <v>3.7250993101871591E+54</v>
      </c>
      <c r="X148">
        <f t="shared" si="36"/>
        <v>54.486689695327485</v>
      </c>
      <c r="Y148">
        <f t="shared" si="37"/>
        <v>54.571137855417561</v>
      </c>
      <c r="AA148" s="10">
        <f t="shared" si="38"/>
        <v>14.20620246859346</v>
      </c>
    </row>
    <row r="149" spans="1:27" x14ac:dyDescent="0.25">
      <c r="A149" s="2">
        <v>1</v>
      </c>
      <c r="B149" s="2">
        <v>7.1619760000000001</v>
      </c>
      <c r="C149" s="6">
        <v>3.65359838184329</v>
      </c>
      <c r="D149" s="2">
        <v>-0.34899999999999998</v>
      </c>
      <c r="E149" s="2">
        <v>4355</v>
      </c>
      <c r="F149" s="2">
        <v>1.1000000000000001</v>
      </c>
      <c r="G149" s="2">
        <v>-0.49349999999999999</v>
      </c>
      <c r="H149" s="2">
        <v>6.8440000000000003</v>
      </c>
      <c r="I149" s="2">
        <v>11942</v>
      </c>
      <c r="J149" s="2">
        <v>0.7157</v>
      </c>
      <c r="K149" s="2">
        <v>638.9</v>
      </c>
      <c r="L149" s="2">
        <v>0.312</v>
      </c>
      <c r="M149" s="2">
        <v>0.26369999999999999</v>
      </c>
      <c r="N149">
        <f t="shared" si="30"/>
        <v>1.1000000000000001E-3</v>
      </c>
      <c r="O149" s="7">
        <f t="shared" si="26"/>
        <v>14520313.731514636</v>
      </c>
      <c r="P149" s="7">
        <f t="shared" si="31"/>
        <v>458226252613646.31</v>
      </c>
      <c r="Q149">
        <f t="shared" si="32"/>
        <v>76597400000</v>
      </c>
      <c r="R149">
        <f t="shared" si="33"/>
        <v>44489162600000</v>
      </c>
      <c r="S149" s="1">
        <f t="shared" si="34"/>
        <v>1.9890000000000001E+33</v>
      </c>
      <c r="T149" s="1">
        <f t="shared" si="35"/>
        <v>1.4235273E+33</v>
      </c>
      <c r="U149" s="8">
        <f t="shared" si="27"/>
        <v>1.3711971479899596E-14</v>
      </c>
      <c r="V149" s="11">
        <f t="shared" si="28"/>
        <v>3.0773221976924391E+54</v>
      </c>
      <c r="W149" s="1">
        <f t="shared" si="29"/>
        <v>3.6409727936292798E+54</v>
      </c>
      <c r="X149">
        <f t="shared" si="36"/>
        <v>54.488172969550789</v>
      </c>
      <c r="Y149">
        <f t="shared" si="37"/>
        <v>54.561217433775795</v>
      </c>
      <c r="AA149" s="10">
        <f t="shared" si="38"/>
        <v>14.520313731514637</v>
      </c>
    </row>
    <row r="150" spans="1:27" x14ac:dyDescent="0.25">
      <c r="A150" s="2">
        <v>1</v>
      </c>
      <c r="B150" s="2">
        <v>7.1713459999999998</v>
      </c>
      <c r="C150" s="6">
        <v>3.6548500905613941</v>
      </c>
      <c r="D150" s="2">
        <v>-0.34799999999999998</v>
      </c>
      <c r="E150" s="2">
        <v>4358</v>
      </c>
      <c r="F150" s="2">
        <v>1.0960000000000001</v>
      </c>
      <c r="G150" s="2">
        <v>-0.49619999999999997</v>
      </c>
      <c r="H150" s="2">
        <v>6.8479999999999999</v>
      </c>
      <c r="I150" s="2">
        <v>12116</v>
      </c>
      <c r="J150" s="2">
        <v>0.72130000000000005</v>
      </c>
      <c r="K150" s="2">
        <v>637.5</v>
      </c>
      <c r="L150" s="2">
        <v>0.30910000000000004</v>
      </c>
      <c r="M150" s="2">
        <v>0.2641</v>
      </c>
      <c r="N150">
        <f t="shared" si="30"/>
        <v>1.0960000000000002E-3</v>
      </c>
      <c r="O150" s="7">
        <f t="shared" si="26"/>
        <v>14836996.696832331</v>
      </c>
      <c r="P150" s="7">
        <f t="shared" si="31"/>
        <v>468220006959955.94</v>
      </c>
      <c r="Q150">
        <f t="shared" si="32"/>
        <v>76318864000.000015</v>
      </c>
      <c r="R150">
        <f t="shared" si="33"/>
        <v>44391675000000.008</v>
      </c>
      <c r="S150" s="1">
        <f t="shared" si="34"/>
        <v>1.9890000000000001E+33</v>
      </c>
      <c r="T150" s="1">
        <f t="shared" si="35"/>
        <v>1.4346657000000002E+33</v>
      </c>
      <c r="U150" s="8">
        <f t="shared" si="27"/>
        <v>1.3419301212639018E-14</v>
      </c>
      <c r="V150" s="11">
        <f t="shared" si="28"/>
        <v>3.0596163915802757E+54</v>
      </c>
      <c r="W150" s="1">
        <f t="shared" si="29"/>
        <v>3.580944440126707E+54</v>
      </c>
      <c r="X150">
        <f t="shared" si="36"/>
        <v>54.485666978944529</v>
      </c>
      <c r="Y150">
        <f t="shared" si="37"/>
        <v>54.55399758280091</v>
      </c>
      <c r="AA150" s="10">
        <f t="shared" si="38"/>
        <v>14.836996696832331</v>
      </c>
    </row>
    <row r="151" spans="1:27" x14ac:dyDescent="0.25">
      <c r="A151" s="2">
        <v>1</v>
      </c>
      <c r="B151" s="2">
        <v>7.180593</v>
      </c>
      <c r="C151" s="6">
        <v>3.6560982020128319</v>
      </c>
      <c r="D151" s="2">
        <v>-0.34499999999999997</v>
      </c>
      <c r="E151" s="2">
        <v>4361</v>
      </c>
      <c r="F151" s="2">
        <v>1.0920000000000001</v>
      </c>
      <c r="G151" s="2">
        <v>-0.49759999999999999</v>
      </c>
      <c r="H151" s="2">
        <v>6.8520000000000003</v>
      </c>
      <c r="I151" s="2">
        <v>12291</v>
      </c>
      <c r="J151" s="2">
        <v>0.73250000000000004</v>
      </c>
      <c r="K151" s="2">
        <v>640.70000000000005</v>
      </c>
      <c r="L151" s="2">
        <v>0.30410000000000004</v>
      </c>
      <c r="M151" s="2">
        <v>0.26689999999999997</v>
      </c>
      <c r="N151">
        <f t="shared" si="30"/>
        <v>1.0920000000000001E-3</v>
      </c>
      <c r="O151" s="7">
        <f t="shared" si="26"/>
        <v>15156293.264416508</v>
      </c>
      <c r="P151" s="7">
        <f t="shared" si="31"/>
        <v>478296240321150.38</v>
      </c>
      <c r="Q151">
        <f t="shared" si="32"/>
        <v>76040328000</v>
      </c>
      <c r="R151">
        <f t="shared" si="33"/>
        <v>44614503800000</v>
      </c>
      <c r="S151" s="1">
        <f t="shared" si="34"/>
        <v>1.9890000000000001E+33</v>
      </c>
      <c r="T151" s="1">
        <f t="shared" si="35"/>
        <v>1.4569425000000001E+33</v>
      </c>
      <c r="U151" s="8">
        <f t="shared" si="27"/>
        <v>1.3136597734828028E-14</v>
      </c>
      <c r="V151" s="11">
        <f t="shared" si="28"/>
        <v>3.0695260254581156E+54</v>
      </c>
      <c r="W151" s="1">
        <f t="shared" si="29"/>
        <v>3.4973505595422E+54</v>
      </c>
      <c r="X151">
        <f t="shared" si="36"/>
        <v>54.48707131996585</v>
      </c>
      <c r="Y151">
        <f t="shared" si="37"/>
        <v>54.543739166322467</v>
      </c>
      <c r="AA151" s="10">
        <f t="shared" si="38"/>
        <v>15.156293264416508</v>
      </c>
    </row>
    <row r="152" spans="1:27" x14ac:dyDescent="0.25">
      <c r="A152" s="2">
        <v>1</v>
      </c>
      <c r="B152" s="2">
        <v>7.1897180000000001</v>
      </c>
      <c r="C152" s="6">
        <v>3.6574383227029625</v>
      </c>
      <c r="D152" s="2">
        <v>-0.34300000000000003</v>
      </c>
      <c r="E152" s="2">
        <v>4364</v>
      </c>
      <c r="F152" s="2">
        <v>1.0880000000000001</v>
      </c>
      <c r="G152" s="2">
        <v>-0.49890000000000001</v>
      </c>
      <c r="H152" s="2">
        <v>6.8559999999999999</v>
      </c>
      <c r="I152" s="2">
        <v>12466</v>
      </c>
      <c r="J152" s="2">
        <v>0.74370000000000003</v>
      </c>
      <c r="K152" s="2">
        <v>644.1</v>
      </c>
      <c r="L152" s="2">
        <v>0.2989</v>
      </c>
      <c r="M152" s="2">
        <v>0.26960000000000001</v>
      </c>
      <c r="N152">
        <f t="shared" si="30"/>
        <v>1.088E-3</v>
      </c>
      <c r="O152" s="7">
        <f t="shared" si="26"/>
        <v>15478112.538136693</v>
      </c>
      <c r="P152" s="7">
        <f t="shared" si="31"/>
        <v>488452084233502.5</v>
      </c>
      <c r="Q152">
        <f t="shared" si="32"/>
        <v>75761792000</v>
      </c>
      <c r="R152">
        <f t="shared" si="33"/>
        <v>44851259400000</v>
      </c>
      <c r="S152" s="1">
        <f t="shared" si="34"/>
        <v>1.9890000000000001E+33</v>
      </c>
      <c r="T152" s="1">
        <f t="shared" si="35"/>
        <v>1.4792193000000001E+33</v>
      </c>
      <c r="U152" s="8">
        <f t="shared" si="27"/>
        <v>1.2863462988471834E-14</v>
      </c>
      <c r="V152" s="11">
        <f t="shared" si="28"/>
        <v>3.0779045527348584E+54</v>
      </c>
      <c r="W152" s="1">
        <f t="shared" si="29"/>
        <v>3.4124097582064142E+54</v>
      </c>
      <c r="X152">
        <f t="shared" si="36"/>
        <v>54.488255148028507</v>
      </c>
      <c r="Y152">
        <f t="shared" si="37"/>
        <v>54.533061175204502</v>
      </c>
      <c r="AA152" s="10">
        <f t="shared" si="38"/>
        <v>15.478112538136692</v>
      </c>
    </row>
    <row r="153" spans="1:27" x14ac:dyDescent="0.25">
      <c r="A153" s="2">
        <v>1</v>
      </c>
      <c r="B153" s="2">
        <v>7.2031799999999997</v>
      </c>
      <c r="C153" s="6">
        <v>3.6595359071542166</v>
      </c>
      <c r="D153" s="2">
        <v>-0.33900000000000002</v>
      </c>
      <c r="E153" s="2">
        <v>4368</v>
      </c>
      <c r="F153" s="2">
        <v>1.083</v>
      </c>
      <c r="G153" s="2">
        <v>-0.50170000000000003</v>
      </c>
      <c r="H153" s="2">
        <v>6.8620000000000001</v>
      </c>
      <c r="I153" s="2">
        <v>12728</v>
      </c>
      <c r="J153" s="2">
        <v>0.75490000000000002</v>
      </c>
      <c r="K153" s="2">
        <v>645</v>
      </c>
      <c r="L153" s="2">
        <v>0.29310000000000003</v>
      </c>
      <c r="M153" s="2">
        <v>0.2712</v>
      </c>
      <c r="N153">
        <f t="shared" si="30"/>
        <v>1.083E-3</v>
      </c>
      <c r="O153" s="7">
        <f t="shared" si="26"/>
        <v>15965407.208831629</v>
      </c>
      <c r="P153" s="7">
        <f t="shared" si="31"/>
        <v>503829934533425</v>
      </c>
      <c r="Q153">
        <f t="shared" si="32"/>
        <v>75413622000</v>
      </c>
      <c r="R153">
        <f t="shared" si="33"/>
        <v>44913930000000</v>
      </c>
      <c r="S153" s="1">
        <f t="shared" si="34"/>
        <v>1.9890000000000001E+33</v>
      </c>
      <c r="T153" s="1">
        <f t="shared" si="35"/>
        <v>1.5014961E+33</v>
      </c>
      <c r="U153" s="8">
        <f t="shared" si="27"/>
        <v>1.2470845570139001E-14</v>
      </c>
      <c r="V153" s="11">
        <f t="shared" si="28"/>
        <v>3.0677789834775394E+54</v>
      </c>
      <c r="W153" s="1">
        <f t="shared" si="29"/>
        <v>3.3155089235149954E+54</v>
      </c>
      <c r="X153">
        <f t="shared" si="36"/>
        <v>54.486824067886566</v>
      </c>
      <c r="Y153">
        <f t="shared" si="37"/>
        <v>54.520550201129979</v>
      </c>
      <c r="AA153" s="10">
        <f t="shared" si="38"/>
        <v>15.965407208831628</v>
      </c>
    </row>
    <row r="154" spans="1:27" x14ac:dyDescent="0.25">
      <c r="A154" s="2">
        <v>1</v>
      </c>
      <c r="B154" s="2">
        <v>7.2120059999999997</v>
      </c>
      <c r="C154" s="6">
        <v>3.6609602917760835</v>
      </c>
      <c r="D154" s="2">
        <v>-0.33500000000000002</v>
      </c>
      <c r="E154" s="2">
        <v>4371</v>
      </c>
      <c r="F154" s="2">
        <v>1.08</v>
      </c>
      <c r="G154" s="2">
        <v>-0.50309999999999999</v>
      </c>
      <c r="H154" s="2">
        <v>6.867</v>
      </c>
      <c r="I154" s="2">
        <v>12903</v>
      </c>
      <c r="J154" s="2">
        <v>0.76049999999999995</v>
      </c>
      <c r="K154" s="2">
        <v>644.1</v>
      </c>
      <c r="L154" s="2">
        <v>0.28989999999999999</v>
      </c>
      <c r="M154" s="2">
        <v>0.27150000000000002</v>
      </c>
      <c r="N154">
        <f t="shared" si="30"/>
        <v>1.08E-3</v>
      </c>
      <c r="O154" s="7">
        <f t="shared" si="26"/>
        <v>16293185.423517572</v>
      </c>
      <c r="P154" s="7">
        <f t="shared" si="31"/>
        <v>514173828321198.13</v>
      </c>
      <c r="Q154">
        <f t="shared" si="32"/>
        <v>75204720000</v>
      </c>
      <c r="R154">
        <f t="shared" si="33"/>
        <v>44851259400000</v>
      </c>
      <c r="S154" s="1">
        <f t="shared" si="34"/>
        <v>1.9890000000000001E+33</v>
      </c>
      <c r="T154" s="1">
        <f t="shared" si="35"/>
        <v>1.5126344999999999E+33</v>
      </c>
      <c r="U154" s="8">
        <f t="shared" si="27"/>
        <v>1.2219963290808643E-14</v>
      </c>
      <c r="V154" s="11">
        <f t="shared" si="28"/>
        <v>3.0541813041741253E+54</v>
      </c>
      <c r="W154" s="1">
        <f t="shared" si="29"/>
        <v>3.2611681770905299E+54</v>
      </c>
      <c r="X154">
        <f t="shared" si="36"/>
        <v>54.484894814339668</v>
      </c>
      <c r="Y154">
        <f t="shared" si="37"/>
        <v>54.513373195769802</v>
      </c>
      <c r="AA154" s="10">
        <f t="shared" si="38"/>
        <v>16.293185423517571</v>
      </c>
    </row>
    <row r="155" spans="1:27" x14ac:dyDescent="0.25">
      <c r="A155" s="2">
        <v>1</v>
      </c>
      <c r="B155" s="2">
        <v>7.2207150000000002</v>
      </c>
      <c r="C155" s="6">
        <v>3.6624745037503095</v>
      </c>
      <c r="D155" s="2">
        <v>-0.33200000000000002</v>
      </c>
      <c r="E155" s="2">
        <v>4373</v>
      </c>
      <c r="F155" s="2">
        <v>1.077</v>
      </c>
      <c r="G155" s="2">
        <v>-0.50449999999999995</v>
      </c>
      <c r="H155" s="2">
        <v>6.8710000000000004</v>
      </c>
      <c r="I155" s="2">
        <v>13078</v>
      </c>
      <c r="J155" s="2">
        <v>0.77170000000000005</v>
      </c>
      <c r="K155" s="2">
        <v>648.20000000000005</v>
      </c>
      <c r="L155" s="2">
        <v>0.28439999999999999</v>
      </c>
      <c r="M155" s="2">
        <v>0.27410000000000001</v>
      </c>
      <c r="N155">
        <f t="shared" si="30"/>
        <v>1.077E-3</v>
      </c>
      <c r="O155" s="7">
        <f t="shared" si="26"/>
        <v>16623214.159493132</v>
      </c>
      <c r="P155" s="7">
        <f t="shared" si="31"/>
        <v>524588743159620.44</v>
      </c>
      <c r="Q155">
        <f t="shared" si="32"/>
        <v>74995818000</v>
      </c>
      <c r="R155">
        <f t="shared" si="33"/>
        <v>45136758800000.008</v>
      </c>
      <c r="S155" s="1">
        <f t="shared" si="34"/>
        <v>1.9890000000000001E+33</v>
      </c>
      <c r="T155" s="1">
        <f t="shared" si="35"/>
        <v>1.5349113000000001E+33</v>
      </c>
      <c r="U155" s="8">
        <f t="shared" si="27"/>
        <v>1.1977354430702597E-14</v>
      </c>
      <c r="V155" s="11">
        <f t="shared" si="28"/>
        <v>3.0663230775470368E+54</v>
      </c>
      <c r="W155" s="1">
        <f t="shared" si="29"/>
        <v>3.1815479140984204E+54</v>
      </c>
      <c r="X155">
        <f t="shared" si="36"/>
        <v>54.48661791157636</v>
      </c>
      <c r="Y155">
        <f t="shared" si="37"/>
        <v>54.502638468094595</v>
      </c>
      <c r="AA155" s="10">
        <f t="shared" si="38"/>
        <v>16.623214159493131</v>
      </c>
    </row>
    <row r="156" spans="1:27" x14ac:dyDescent="0.25">
      <c r="A156" s="2">
        <v>1</v>
      </c>
      <c r="B156" s="2">
        <v>7.2293050000000001</v>
      </c>
      <c r="C156" s="6">
        <v>3.6640775901850748</v>
      </c>
      <c r="D156" s="2">
        <v>-0.32700000000000001</v>
      </c>
      <c r="E156" s="2">
        <v>4375</v>
      </c>
      <c r="F156" s="2">
        <v>1.075</v>
      </c>
      <c r="G156" s="2">
        <v>-0.50580000000000003</v>
      </c>
      <c r="H156" s="2">
        <v>6.875</v>
      </c>
      <c r="I156" s="2">
        <v>13253</v>
      </c>
      <c r="J156" s="2">
        <v>0.77729999999999999</v>
      </c>
      <c r="K156" s="2">
        <v>647.6</v>
      </c>
      <c r="L156" s="2">
        <v>0.28110000000000002</v>
      </c>
      <c r="M156" s="2">
        <v>0.2742</v>
      </c>
      <c r="N156">
        <f t="shared" si="30"/>
        <v>1.075E-3</v>
      </c>
      <c r="O156" s="7">
        <f t="shared" si="26"/>
        <v>16955281.322499011</v>
      </c>
      <c r="P156" s="7">
        <f t="shared" si="31"/>
        <v>535067985862894.75</v>
      </c>
      <c r="Q156">
        <f t="shared" si="32"/>
        <v>74856550000</v>
      </c>
      <c r="R156">
        <f t="shared" si="33"/>
        <v>45094978400000</v>
      </c>
      <c r="S156" s="1">
        <f t="shared" si="34"/>
        <v>1.9890000000000001E+33</v>
      </c>
      <c r="T156" s="1">
        <f t="shared" si="35"/>
        <v>1.5460496999999998E+33</v>
      </c>
      <c r="U156" s="8">
        <f t="shared" si="27"/>
        <v>1.1742779372319955E-14</v>
      </c>
      <c r="V156" s="11">
        <f t="shared" si="28"/>
        <v>3.0560598019381621E+54</v>
      </c>
      <c r="W156" s="1">
        <f t="shared" si="29"/>
        <v>3.132962838529604E+54</v>
      </c>
      <c r="X156">
        <f t="shared" si="36"/>
        <v>54.485161848397645</v>
      </c>
      <c r="Y156">
        <f t="shared" si="37"/>
        <v>54.495955243551592</v>
      </c>
      <c r="AA156" s="10">
        <f t="shared" si="38"/>
        <v>16.955281322499012</v>
      </c>
    </row>
    <row r="157" spans="1:27" x14ac:dyDescent="0.25">
      <c r="A157" s="2">
        <v>1</v>
      </c>
      <c r="B157" s="2">
        <v>7.2419799999999999</v>
      </c>
      <c r="C157" s="6">
        <v>3.6666115684190301</v>
      </c>
      <c r="D157" s="2">
        <v>-0.32</v>
      </c>
      <c r="E157" s="2">
        <v>4378</v>
      </c>
      <c r="F157" s="2">
        <v>1.071</v>
      </c>
      <c r="G157" s="2">
        <v>-0.50719999999999998</v>
      </c>
      <c r="H157" s="2">
        <v>6.8819999999999997</v>
      </c>
      <c r="I157" s="2">
        <v>13515</v>
      </c>
      <c r="J157" s="2">
        <v>0.78710000000000002</v>
      </c>
      <c r="K157" s="2">
        <v>648.1</v>
      </c>
      <c r="L157" s="2">
        <v>0.27539999999999998</v>
      </c>
      <c r="M157" s="2">
        <v>0.27489999999999998</v>
      </c>
      <c r="N157">
        <f t="shared" si="30"/>
        <v>1.0709999999999999E-3</v>
      </c>
      <c r="O157" s="7">
        <f t="shared" si="26"/>
        <v>17457417.566904258</v>
      </c>
      <c r="P157" s="7">
        <f t="shared" si="31"/>
        <v>550914200609337.81</v>
      </c>
      <c r="Q157">
        <f t="shared" si="32"/>
        <v>74578014000</v>
      </c>
      <c r="R157">
        <f t="shared" si="33"/>
        <v>45129795400000</v>
      </c>
      <c r="S157" s="1">
        <f t="shared" si="34"/>
        <v>1.9890000000000001E+33</v>
      </c>
      <c r="T157" s="1">
        <f t="shared" si="35"/>
        <v>1.5655419E+33</v>
      </c>
      <c r="U157" s="8">
        <f t="shared" si="27"/>
        <v>1.1405016062809924E-14</v>
      </c>
      <c r="V157" s="11">
        <f t="shared" si="28"/>
        <v>3.0411031492142029E+54</v>
      </c>
      <c r="W157" s="1">
        <f t="shared" si="29"/>
        <v>3.04663443904544E+54</v>
      </c>
      <c r="X157">
        <f t="shared" si="36"/>
        <v>54.483031150948079</v>
      </c>
      <c r="Y157">
        <f t="shared" si="37"/>
        <v>54.483820347025521</v>
      </c>
      <c r="AA157" s="10">
        <f t="shared" si="38"/>
        <v>17.457417566904258</v>
      </c>
    </row>
    <row r="158" spans="1:27" x14ac:dyDescent="0.25">
      <c r="A158" s="2">
        <v>1</v>
      </c>
      <c r="B158" s="2">
        <v>7.250286</v>
      </c>
      <c r="C158" s="6">
        <v>3.6683859166900001</v>
      </c>
      <c r="D158" s="2">
        <v>-0.315</v>
      </c>
      <c r="E158" s="2">
        <v>4380</v>
      </c>
      <c r="F158" s="2">
        <v>1.0680000000000001</v>
      </c>
      <c r="G158" s="2">
        <v>-0.50860000000000005</v>
      </c>
      <c r="H158" s="2">
        <v>6.8860000000000001</v>
      </c>
      <c r="I158" s="2">
        <v>13690</v>
      </c>
      <c r="J158" s="2">
        <v>0.79410000000000003</v>
      </c>
      <c r="K158" s="2">
        <v>649.1</v>
      </c>
      <c r="L158" s="2">
        <v>0.27129999999999999</v>
      </c>
      <c r="M158" s="2">
        <v>0.27560000000000001</v>
      </c>
      <c r="N158">
        <f t="shared" si="30"/>
        <v>1.0680000000000002E-3</v>
      </c>
      <c r="O158" s="7">
        <f t="shared" si="26"/>
        <v>17794508.626633741</v>
      </c>
      <c r="P158" s="7">
        <f t="shared" si="31"/>
        <v>561551985435856.94</v>
      </c>
      <c r="Q158">
        <f t="shared" si="32"/>
        <v>74369112000.000015</v>
      </c>
      <c r="R158">
        <f t="shared" si="33"/>
        <v>45199429400000</v>
      </c>
      <c r="S158" s="1">
        <f t="shared" si="34"/>
        <v>1.9890000000000001E+33</v>
      </c>
      <c r="T158" s="1">
        <f t="shared" si="35"/>
        <v>1.5794649E+33</v>
      </c>
      <c r="U158" s="8">
        <f t="shared" si="27"/>
        <v>1.118896463753538E-14</v>
      </c>
      <c r="V158" s="11">
        <f t="shared" si="28"/>
        <v>3.0317905019739957E+54</v>
      </c>
      <c r="W158" s="1">
        <f t="shared" si="29"/>
        <v>2.9844875297008163E+54</v>
      </c>
      <c r="X158">
        <f t="shared" si="36"/>
        <v>54.481699188061569</v>
      </c>
      <c r="Y158">
        <f t="shared" si="37"/>
        <v>54.474869768587574</v>
      </c>
      <c r="AA158" s="10">
        <f t="shared" si="38"/>
        <v>17.794508626633743</v>
      </c>
    </row>
    <row r="159" spans="1:27" x14ac:dyDescent="0.25">
      <c r="A159" s="2">
        <v>1</v>
      </c>
      <c r="B159" s="2">
        <v>7.2625409999999997</v>
      </c>
      <c r="C159" s="6">
        <v>3.6710802327388494</v>
      </c>
      <c r="D159" s="2">
        <v>-0.307</v>
      </c>
      <c r="E159" s="2">
        <v>4383</v>
      </c>
      <c r="F159" s="2">
        <v>1.0649999999999999</v>
      </c>
      <c r="G159" s="2">
        <v>-0.50860000000000005</v>
      </c>
      <c r="H159" s="2">
        <v>6.8929999999999998</v>
      </c>
      <c r="I159" s="2">
        <v>13953</v>
      </c>
      <c r="J159" s="2">
        <v>0.80530000000000002</v>
      </c>
      <c r="K159" s="2">
        <v>651.5</v>
      </c>
      <c r="L159" s="2">
        <v>0.26469999999999999</v>
      </c>
      <c r="M159" s="2">
        <v>0.27679999999999999</v>
      </c>
      <c r="N159">
        <f t="shared" si="30"/>
        <v>1.065E-3</v>
      </c>
      <c r="O159" s="7">
        <f t="shared" si="26"/>
        <v>18303788.968843579</v>
      </c>
      <c r="P159" s="7">
        <f t="shared" si="31"/>
        <v>577623650763178.13</v>
      </c>
      <c r="Q159">
        <f t="shared" si="32"/>
        <v>74160210000</v>
      </c>
      <c r="R159">
        <f t="shared" si="33"/>
        <v>45366551000000</v>
      </c>
      <c r="S159" s="1">
        <f t="shared" si="34"/>
        <v>1.9890000000000001E+33</v>
      </c>
      <c r="T159" s="1">
        <f t="shared" si="35"/>
        <v>1.6017416999999999E+33</v>
      </c>
      <c r="U159" s="8">
        <f t="shared" si="27"/>
        <v>1.0877645503050309E-14</v>
      </c>
      <c r="V159" s="11">
        <f t="shared" si="28"/>
        <v>3.0279086648263251E+54</v>
      </c>
      <c r="W159" s="1">
        <f t="shared" si="29"/>
        <v>2.8955470505040759E+54</v>
      </c>
      <c r="X159">
        <f t="shared" si="36"/>
        <v>54.481142770775136</v>
      </c>
      <c r="Y159">
        <f t="shared" si="37"/>
        <v>54.461730626291761</v>
      </c>
      <c r="AA159" s="10">
        <f t="shared" si="38"/>
        <v>18.30378896884358</v>
      </c>
    </row>
    <row r="160" spans="1:27" x14ac:dyDescent="0.25">
      <c r="A160" s="2">
        <v>1</v>
      </c>
      <c r="B160" s="2">
        <v>7.2705789999999997</v>
      </c>
      <c r="C160" s="6">
        <v>3.6729286904427223</v>
      </c>
      <c r="D160" s="2">
        <v>-0.30099999999999999</v>
      </c>
      <c r="E160" s="2">
        <v>4384</v>
      </c>
      <c r="F160" s="2">
        <v>1.0629999999999999</v>
      </c>
      <c r="G160" s="2">
        <v>-0.51</v>
      </c>
      <c r="H160" s="2">
        <v>6.8979999999999997</v>
      </c>
      <c r="I160" s="2">
        <v>14128</v>
      </c>
      <c r="J160" s="2">
        <v>0.8165</v>
      </c>
      <c r="K160" s="2">
        <v>657.1</v>
      </c>
      <c r="L160" s="2">
        <v>0.25830000000000003</v>
      </c>
      <c r="M160" s="2">
        <v>0.2792</v>
      </c>
      <c r="N160">
        <f t="shared" si="30"/>
        <v>1.0629999999999999E-3</v>
      </c>
      <c r="O160" s="7">
        <f t="shared" si="26"/>
        <v>18645713.208019566</v>
      </c>
      <c r="P160" s="7">
        <f t="shared" si="31"/>
        <v>588413959133398.25</v>
      </c>
      <c r="Q160">
        <f t="shared" si="32"/>
        <v>74020942000</v>
      </c>
      <c r="R160">
        <f t="shared" si="33"/>
        <v>45756501400000</v>
      </c>
      <c r="S160" s="1">
        <f t="shared" si="34"/>
        <v>1.9890000000000001E+33</v>
      </c>
      <c r="T160" s="1">
        <f t="shared" si="35"/>
        <v>1.6240184999999998E+33</v>
      </c>
      <c r="U160" s="8">
        <f t="shared" si="27"/>
        <v>1.0678171735479064E-14</v>
      </c>
      <c r="V160" s="11">
        <f t="shared" si="28"/>
        <v>3.0427019473170689E+54</v>
      </c>
      <c r="W160" s="1">
        <f t="shared" si="29"/>
        <v>2.8149352184527185E+54</v>
      </c>
      <c r="X160">
        <f t="shared" si="36"/>
        <v>54.48325941243862</v>
      </c>
      <c r="Y160">
        <f t="shared" si="37"/>
        <v>54.449468404660813</v>
      </c>
      <c r="AA160" s="10">
        <f t="shared" si="38"/>
        <v>18.645713208019565</v>
      </c>
    </row>
    <row r="161" spans="1:27" x14ac:dyDescent="0.25">
      <c r="A161" s="2">
        <v>1</v>
      </c>
      <c r="B161" s="2">
        <v>7.2824299999999997</v>
      </c>
      <c r="C161" s="6">
        <v>3.6757783416740852</v>
      </c>
      <c r="D161" s="2">
        <v>-0.29199999999999998</v>
      </c>
      <c r="E161" s="2">
        <v>4386</v>
      </c>
      <c r="F161" s="2">
        <v>1.0609999999999999</v>
      </c>
      <c r="G161" s="2">
        <v>-0.51</v>
      </c>
      <c r="H161" s="2">
        <v>6.9050000000000002</v>
      </c>
      <c r="I161" s="2">
        <v>14390</v>
      </c>
      <c r="J161" s="2">
        <v>0.82769999999999999</v>
      </c>
      <c r="K161" s="2">
        <v>660.5</v>
      </c>
      <c r="L161" s="2">
        <v>0.25130000000000002</v>
      </c>
      <c r="M161" s="2">
        <v>0.28039999999999998</v>
      </c>
      <c r="N161">
        <f t="shared" si="30"/>
        <v>1.0609999999999999E-3</v>
      </c>
      <c r="O161" s="7">
        <f t="shared" si="26"/>
        <v>19161521.906010043</v>
      </c>
      <c r="P161" s="7">
        <f t="shared" si="31"/>
        <v>604691643701102.5</v>
      </c>
      <c r="Q161">
        <f t="shared" si="32"/>
        <v>73881674000</v>
      </c>
      <c r="R161">
        <f t="shared" si="33"/>
        <v>45993257000000</v>
      </c>
      <c r="S161" s="1">
        <f t="shared" si="34"/>
        <v>1.9890000000000001E+33</v>
      </c>
      <c r="T161" s="1">
        <f t="shared" si="35"/>
        <v>1.6462953E+33</v>
      </c>
      <c r="U161" s="8">
        <f t="shared" si="27"/>
        <v>1.0390726203395905E-14</v>
      </c>
      <c r="V161" s="11">
        <f t="shared" si="28"/>
        <v>3.0442915802990249E+54</v>
      </c>
      <c r="W161" s="1">
        <f t="shared" si="29"/>
        <v>2.7283540446831134E+54</v>
      </c>
      <c r="X161">
        <f t="shared" si="36"/>
        <v>54.483486246538206</v>
      </c>
      <c r="Y161">
        <f t="shared" si="37"/>
        <v>54.435900725836156</v>
      </c>
      <c r="AA161" s="10">
        <f t="shared" si="38"/>
        <v>19.161521906010044</v>
      </c>
    </row>
    <row r="162" spans="1:27" x14ac:dyDescent="0.25">
      <c r="A162" s="2">
        <v>1</v>
      </c>
      <c r="B162" s="2">
        <v>7.2902019999999998</v>
      </c>
      <c r="C162" s="6">
        <v>3.6776981814745104</v>
      </c>
      <c r="D162" s="2">
        <v>-0.28499999999999998</v>
      </c>
      <c r="E162" s="2">
        <v>4387</v>
      </c>
      <c r="F162" s="2">
        <v>1.0589999999999999</v>
      </c>
      <c r="G162" s="2">
        <v>-0.51139999999999997</v>
      </c>
      <c r="H162" s="2">
        <v>6.91</v>
      </c>
      <c r="I162" s="2">
        <v>14565</v>
      </c>
      <c r="J162" s="2">
        <v>0.83330000000000004</v>
      </c>
      <c r="K162" s="2">
        <v>661</v>
      </c>
      <c r="L162" s="2">
        <v>0.24740000000000001</v>
      </c>
      <c r="M162" s="2">
        <v>0.2802</v>
      </c>
      <c r="N162">
        <f t="shared" si="30"/>
        <v>1.059E-3</v>
      </c>
      <c r="O162" s="7">
        <f t="shared" si="26"/>
        <v>19507517.266921576</v>
      </c>
      <c r="P162" s="7">
        <f t="shared" si="31"/>
        <v>615610426902604.38</v>
      </c>
      <c r="Q162">
        <f t="shared" si="32"/>
        <v>73742406000</v>
      </c>
      <c r="R162">
        <f t="shared" si="33"/>
        <v>46028074000000</v>
      </c>
      <c r="S162" s="1">
        <f t="shared" si="34"/>
        <v>1.9890000000000001E+33</v>
      </c>
      <c r="T162" s="1">
        <f t="shared" si="35"/>
        <v>1.6574337E+33</v>
      </c>
      <c r="U162" s="8">
        <f t="shared" si="27"/>
        <v>1.0206430938463698E-14</v>
      </c>
      <c r="V162" s="11">
        <f t="shared" si="28"/>
        <v>3.030662118674822E+54</v>
      </c>
      <c r="W162" s="1">
        <f t="shared" si="29"/>
        <v>2.6758951040690617E+54</v>
      </c>
      <c r="X162">
        <f t="shared" si="36"/>
        <v>54.481537520605627</v>
      </c>
      <c r="Y162">
        <f t="shared" si="37"/>
        <v>54.427469084948974</v>
      </c>
      <c r="AA162" s="10">
        <f t="shared" si="38"/>
        <v>19.507517266921575</v>
      </c>
    </row>
    <row r="163" spans="1:27" x14ac:dyDescent="0.25">
      <c r="A163" s="2">
        <v>1</v>
      </c>
      <c r="B163" s="2">
        <v>7.3016719999999999</v>
      </c>
      <c r="C163" s="6">
        <v>3.6806074289917881</v>
      </c>
      <c r="D163" s="2">
        <v>-0.27500000000000002</v>
      </c>
      <c r="E163" s="2">
        <v>4389</v>
      </c>
      <c r="F163" s="2">
        <v>1.0569999999999999</v>
      </c>
      <c r="G163" s="2">
        <v>-0.51139999999999997</v>
      </c>
      <c r="H163" s="2">
        <v>6.9169999999999998</v>
      </c>
      <c r="I163" s="2">
        <v>14828</v>
      </c>
      <c r="J163" s="2">
        <v>0.83889999999999998</v>
      </c>
      <c r="K163" s="2">
        <v>658.9</v>
      </c>
      <c r="L163" s="2">
        <v>0.24299999999999999</v>
      </c>
      <c r="M163" s="2">
        <v>0.27860000000000001</v>
      </c>
      <c r="N163">
        <f t="shared" si="30"/>
        <v>1.057E-3</v>
      </c>
      <c r="O163" s="7">
        <f t="shared" si="26"/>
        <v>20029587.255857702</v>
      </c>
      <c r="P163" s="7">
        <f t="shared" si="31"/>
        <v>632085702785455</v>
      </c>
      <c r="Q163">
        <f t="shared" si="32"/>
        <v>73603138000</v>
      </c>
      <c r="R163">
        <f t="shared" si="33"/>
        <v>45881842600000</v>
      </c>
      <c r="S163" s="1">
        <f t="shared" si="34"/>
        <v>1.9890000000000001E+33</v>
      </c>
      <c r="T163" s="1">
        <f t="shared" si="35"/>
        <v>1.6685721E+33</v>
      </c>
      <c r="U163" s="8">
        <f t="shared" si="27"/>
        <v>9.940400929005428E-15</v>
      </c>
      <c r="V163" s="11">
        <f t="shared" si="28"/>
        <v>3.0019852645180978E+54</v>
      </c>
      <c r="W163" s="1">
        <f t="shared" si="29"/>
        <v>2.6183862859938895E+54</v>
      </c>
      <c r="X163">
        <f t="shared" si="36"/>
        <v>54.4774085561437</v>
      </c>
      <c r="Y163">
        <f t="shared" si="37"/>
        <v>54.418033717654069</v>
      </c>
      <c r="AA163" s="10">
        <f t="shared" si="38"/>
        <v>20.029587255857702</v>
      </c>
    </row>
    <row r="164" spans="1:27" x14ac:dyDescent="0.25">
      <c r="A164" s="2">
        <v>1</v>
      </c>
      <c r="B164" s="2">
        <v>7.3091999999999997</v>
      </c>
      <c r="C164" s="6">
        <v>3.6825962914605532</v>
      </c>
      <c r="D164" s="2">
        <v>-0.26800000000000002</v>
      </c>
      <c r="E164" s="2">
        <v>4390</v>
      </c>
      <c r="F164" s="2">
        <v>1.056</v>
      </c>
      <c r="G164" s="2">
        <v>-0.51139999999999997</v>
      </c>
      <c r="H164" s="2">
        <v>6.9219999999999997</v>
      </c>
      <c r="I164" s="2">
        <v>15003</v>
      </c>
      <c r="J164" s="2">
        <v>0.85009999999999997</v>
      </c>
      <c r="K164" s="2">
        <v>666.3</v>
      </c>
      <c r="L164" s="2">
        <v>0.2359</v>
      </c>
      <c r="M164" s="2">
        <v>0.28100000000000003</v>
      </c>
      <c r="N164">
        <f t="shared" si="30"/>
        <v>1.0560000000000001E-3</v>
      </c>
      <c r="O164" s="7">
        <f t="shared" si="26"/>
        <v>20379803.862870574</v>
      </c>
      <c r="P164" s="7">
        <f t="shared" si="31"/>
        <v>643137698382924.38</v>
      </c>
      <c r="Q164">
        <f t="shared" si="32"/>
        <v>73533504000</v>
      </c>
      <c r="R164">
        <f t="shared" si="33"/>
        <v>46397134200000</v>
      </c>
      <c r="S164" s="1">
        <f t="shared" si="34"/>
        <v>1.9890000000000001E+33</v>
      </c>
      <c r="T164" s="1">
        <f t="shared" si="35"/>
        <v>1.6908488999999999E+33</v>
      </c>
      <c r="U164" s="8">
        <f t="shared" si="27"/>
        <v>9.7695801738534945E-15</v>
      </c>
      <c r="V164" s="11">
        <f t="shared" si="28"/>
        <v>3.0221194486444139E+54</v>
      </c>
      <c r="W164" s="1">
        <f t="shared" si="29"/>
        <v>2.5370746545737265E+54</v>
      </c>
      <c r="X164">
        <f t="shared" si="36"/>
        <v>54.480311625741571</v>
      </c>
      <c r="Y164">
        <f t="shared" si="37"/>
        <v>54.404333246722082</v>
      </c>
      <c r="AA164" s="10">
        <f t="shared" si="38"/>
        <v>20.379803862870574</v>
      </c>
    </row>
    <row r="165" spans="1:27" x14ac:dyDescent="0.25">
      <c r="A165" s="2">
        <v>1</v>
      </c>
      <c r="B165" s="2">
        <v>7.3202829999999999</v>
      </c>
      <c r="C165" s="6">
        <v>3.6854730197227594</v>
      </c>
      <c r="D165" s="2">
        <v>-0.25800000000000001</v>
      </c>
      <c r="E165" s="2">
        <v>4391</v>
      </c>
      <c r="F165" s="2">
        <v>1.0549999999999999</v>
      </c>
      <c r="G165" s="2">
        <v>-0.51139999999999997</v>
      </c>
      <c r="H165" s="2">
        <v>6.9290000000000003</v>
      </c>
      <c r="I165" s="2">
        <v>15265</v>
      </c>
      <c r="J165" s="2">
        <v>0.85540000000000005</v>
      </c>
      <c r="K165" s="2">
        <v>664.5</v>
      </c>
      <c r="L165" s="2">
        <v>0.23139999999999999</v>
      </c>
      <c r="M165" s="2">
        <v>0.27910000000000001</v>
      </c>
      <c r="N165">
        <f t="shared" si="30"/>
        <v>1.0549999999999999E-3</v>
      </c>
      <c r="O165" s="7">
        <f t="shared" si="26"/>
        <v>20906580.258743405</v>
      </c>
      <c r="P165" s="7">
        <f t="shared" si="31"/>
        <v>659761497173320.88</v>
      </c>
      <c r="Q165">
        <f t="shared" si="32"/>
        <v>73463870000</v>
      </c>
      <c r="R165">
        <f t="shared" si="33"/>
        <v>46271793000000</v>
      </c>
      <c r="S165" s="1">
        <f t="shared" si="34"/>
        <v>1.9890000000000001E+33</v>
      </c>
      <c r="T165" s="1">
        <f t="shared" si="35"/>
        <v>1.7013906000000001E+33</v>
      </c>
      <c r="U165" s="8">
        <f t="shared" si="27"/>
        <v>9.5234191963296383E-15</v>
      </c>
      <c r="V165" s="11">
        <f t="shared" si="28"/>
        <v>2.9960028709655588E+54</v>
      </c>
      <c r="W165" s="1">
        <f t="shared" si="29"/>
        <v>2.483966550847117E+54</v>
      </c>
      <c r="X165">
        <f t="shared" si="36"/>
        <v>54.476542225196958</v>
      </c>
      <c r="Y165">
        <f t="shared" si="37"/>
        <v>54.395145743324058</v>
      </c>
      <c r="AA165" s="10">
        <f t="shared" si="38"/>
        <v>20.906580258743407</v>
      </c>
    </row>
    <row r="166" spans="1:27" x14ac:dyDescent="0.25">
      <c r="A166" s="2">
        <v>1</v>
      </c>
      <c r="B166" s="2">
        <v>7.3309170000000003</v>
      </c>
      <c r="C166" s="6">
        <v>3.6884198220027105</v>
      </c>
      <c r="D166" s="2">
        <v>-0.247</v>
      </c>
      <c r="E166" s="2">
        <v>4392</v>
      </c>
      <c r="F166" s="2">
        <v>1.054</v>
      </c>
      <c r="G166" s="2">
        <v>-0.51290000000000002</v>
      </c>
      <c r="H166" s="2">
        <v>6.9370000000000003</v>
      </c>
      <c r="I166" s="2">
        <v>15520</v>
      </c>
      <c r="J166" s="2">
        <v>0.86829999999999996</v>
      </c>
      <c r="K166" s="2">
        <v>672.6</v>
      </c>
      <c r="L166" s="2">
        <v>0.2225</v>
      </c>
      <c r="M166" s="2">
        <v>0.28079999999999999</v>
      </c>
      <c r="N166">
        <f t="shared" si="30"/>
        <v>1.054E-3</v>
      </c>
      <c r="O166" s="7">
        <f t="shared" si="26"/>
        <v>21424811.026516844</v>
      </c>
      <c r="P166" s="7">
        <f t="shared" si="31"/>
        <v>676115616450408</v>
      </c>
      <c r="Q166">
        <f t="shared" si="32"/>
        <v>73394236000</v>
      </c>
      <c r="R166">
        <f t="shared" si="33"/>
        <v>46835828400000</v>
      </c>
      <c r="S166" s="1">
        <f t="shared" si="34"/>
        <v>1.9890000000000001E+33</v>
      </c>
      <c r="T166" s="1">
        <f t="shared" si="35"/>
        <v>1.7270487E+33</v>
      </c>
      <c r="U166" s="8">
        <f t="shared" si="27"/>
        <v>9.2930634262911576E-15</v>
      </c>
      <c r="V166" s="11">
        <f t="shared" si="28"/>
        <v>3.0085400320716682E+54</v>
      </c>
      <c r="W166" s="1">
        <f t="shared" si="29"/>
        <v>2.3839036935040817E+54</v>
      </c>
      <c r="X166">
        <f t="shared" si="36"/>
        <v>54.478355794651726</v>
      </c>
      <c r="Y166">
        <f t="shared" si="37"/>
        <v>54.37728870651091</v>
      </c>
      <c r="AA166" s="10">
        <f t="shared" si="38"/>
        <v>21.424811026516842</v>
      </c>
    </row>
    <row r="167" spans="1:27" x14ac:dyDescent="0.25">
      <c r="A167" s="2">
        <v>1</v>
      </c>
      <c r="B167" s="2">
        <v>7.3411419999999996</v>
      </c>
      <c r="C167" s="6">
        <v>3.691435152144062</v>
      </c>
      <c r="D167" s="2">
        <v>-0.23499999999999999</v>
      </c>
      <c r="E167" s="2">
        <v>4392</v>
      </c>
      <c r="F167" s="2">
        <v>1.054</v>
      </c>
      <c r="G167" s="2">
        <v>-0.51290000000000002</v>
      </c>
      <c r="H167" s="2">
        <v>6.944</v>
      </c>
      <c r="I167" s="2">
        <v>15769</v>
      </c>
      <c r="J167" s="2">
        <v>0.87470000000000003</v>
      </c>
      <c r="K167" s="2">
        <v>673.2</v>
      </c>
      <c r="L167" s="2">
        <v>0.21709999999999999</v>
      </c>
      <c r="M167" s="2">
        <v>0.27939999999999998</v>
      </c>
      <c r="N167">
        <f t="shared" si="30"/>
        <v>1.054E-3</v>
      </c>
      <c r="O167" s="7">
        <f t="shared" si="26"/>
        <v>21935220.276105929</v>
      </c>
      <c r="P167" s="7">
        <f t="shared" si="31"/>
        <v>692222907385240.5</v>
      </c>
      <c r="Q167">
        <f t="shared" si="32"/>
        <v>73394236000</v>
      </c>
      <c r="R167">
        <f t="shared" si="33"/>
        <v>46877608800000.008</v>
      </c>
      <c r="S167" s="1">
        <f t="shared" si="34"/>
        <v>1.9890000000000001E+33</v>
      </c>
      <c r="T167" s="1">
        <f t="shared" si="35"/>
        <v>1.7397783000000001E+33</v>
      </c>
      <c r="U167" s="8">
        <f t="shared" si="27"/>
        <v>9.0768237227417066E-15</v>
      </c>
      <c r="V167" s="11">
        <f t="shared" si="28"/>
        <v>2.9935401886069231E+54</v>
      </c>
      <c r="W167" s="1">
        <f t="shared" si="29"/>
        <v>2.3260471544257802E+54</v>
      </c>
      <c r="X167">
        <f t="shared" si="36"/>
        <v>54.476185092972123</v>
      </c>
      <c r="Y167">
        <f t="shared" si="37"/>
        <v>54.36661851464838</v>
      </c>
      <c r="AA167" s="10">
        <f t="shared" si="38"/>
        <v>21.93522027610593</v>
      </c>
    </row>
    <row r="168" spans="1:27" x14ac:dyDescent="0.25">
      <c r="A168" s="2">
        <v>1</v>
      </c>
      <c r="B168" s="2">
        <v>7.3509380000000002</v>
      </c>
      <c r="C168" s="6">
        <v>3.6946051989335689</v>
      </c>
      <c r="D168" s="2">
        <v>-0.222</v>
      </c>
      <c r="E168" s="2">
        <v>4392</v>
      </c>
      <c r="F168" s="2">
        <v>1.054</v>
      </c>
      <c r="G168" s="2">
        <v>-0.51290000000000002</v>
      </c>
      <c r="H168" s="2">
        <v>6.9509999999999996</v>
      </c>
      <c r="I168" s="2">
        <v>16011</v>
      </c>
      <c r="J168" s="2">
        <v>0.88109999999999999</v>
      </c>
      <c r="K168" s="2">
        <v>674.4</v>
      </c>
      <c r="L168" s="2">
        <v>0.2117</v>
      </c>
      <c r="M168" s="2">
        <v>0.27810000000000001</v>
      </c>
      <c r="N168">
        <f t="shared" si="30"/>
        <v>1.054E-3</v>
      </c>
      <c r="O168" s="7">
        <f t="shared" si="26"/>
        <v>22435616.094451733</v>
      </c>
      <c r="P168" s="7">
        <f t="shared" si="31"/>
        <v>708014198462270</v>
      </c>
      <c r="Q168">
        <f t="shared" si="32"/>
        <v>73394236000</v>
      </c>
      <c r="R168">
        <f t="shared" si="33"/>
        <v>46961169600000</v>
      </c>
      <c r="S168" s="1">
        <f t="shared" si="34"/>
        <v>1.9890000000000001E+33</v>
      </c>
      <c r="T168" s="1">
        <f t="shared" si="35"/>
        <v>1.7525078999999999E+33</v>
      </c>
      <c r="U168" s="8">
        <f t="shared" si="27"/>
        <v>8.8743775489615641E-15</v>
      </c>
      <c r="V168" s="11">
        <f t="shared" si="28"/>
        <v>2.9796117625325175E+54</v>
      </c>
      <c r="W168" s="1">
        <f t="shared" si="29"/>
        <v>2.2681906153474793E+54</v>
      </c>
      <c r="X168">
        <f t="shared" si="36"/>
        <v>54.474159680058115</v>
      </c>
      <c r="Y168">
        <f t="shared" si="37"/>
        <v>54.35567954921337</v>
      </c>
      <c r="AA168" s="10">
        <f t="shared" si="38"/>
        <v>22.435616094451731</v>
      </c>
    </row>
    <row r="169" spans="1:27" x14ac:dyDescent="0.25">
      <c r="A169" s="2">
        <v>1</v>
      </c>
      <c r="B169" s="2">
        <v>7.3603810000000003</v>
      </c>
      <c r="C169" s="6">
        <v>3.697839368218363</v>
      </c>
      <c r="D169" s="2">
        <v>-0.21</v>
      </c>
      <c r="E169" s="2">
        <v>4392</v>
      </c>
      <c r="F169" s="2">
        <v>1.054</v>
      </c>
      <c r="G169" s="2">
        <v>-0.51290000000000002</v>
      </c>
      <c r="H169" s="2">
        <v>6.9589999999999996</v>
      </c>
      <c r="I169" s="2">
        <v>16248</v>
      </c>
      <c r="J169" s="2">
        <v>0.89090000000000003</v>
      </c>
      <c r="K169" s="2">
        <v>681.3</v>
      </c>
      <c r="L169" s="2">
        <v>0.2039</v>
      </c>
      <c r="M169" s="2">
        <v>0.2787</v>
      </c>
      <c r="N169">
        <f t="shared" si="30"/>
        <v>1.054E-3</v>
      </c>
      <c r="O169" s="7">
        <f t="shared" si="26"/>
        <v>22928782.782309987</v>
      </c>
      <c r="P169" s="7">
        <f t="shared" si="31"/>
        <v>723577355531025.63</v>
      </c>
      <c r="Q169">
        <f t="shared" si="32"/>
        <v>73394236000</v>
      </c>
      <c r="R169">
        <f t="shared" si="33"/>
        <v>47441644200000</v>
      </c>
      <c r="S169" s="1">
        <f t="shared" si="34"/>
        <v>1.9890000000000001E+33</v>
      </c>
      <c r="T169" s="1">
        <f t="shared" si="35"/>
        <v>1.7720000999999998E+33</v>
      </c>
      <c r="U169" s="8">
        <f t="shared" si="27"/>
        <v>8.6835018524984436E-15</v>
      </c>
      <c r="V169" s="11">
        <f t="shared" si="28"/>
        <v>2.9860402668745509E+54</v>
      </c>
      <c r="W169" s="1">
        <f t="shared" si="29"/>
        <v>2.1846200589010442E+54</v>
      </c>
      <c r="X169">
        <f t="shared" si="36"/>
        <v>54.475095659907261</v>
      </c>
      <c r="Y169">
        <f t="shared" si="37"/>
        <v>54.339375916972095</v>
      </c>
      <c r="AA169" s="10">
        <f t="shared" si="38"/>
        <v>22.928782782309987</v>
      </c>
    </row>
    <row r="170" spans="1:27" x14ac:dyDescent="0.25">
      <c r="A170" s="2">
        <v>1</v>
      </c>
      <c r="B170" s="2">
        <v>7.3694639999999998</v>
      </c>
      <c r="C170" s="6">
        <v>3.7007902213743469</v>
      </c>
      <c r="D170" s="2">
        <v>-0.19800000000000001</v>
      </c>
      <c r="E170" s="2">
        <v>4392</v>
      </c>
      <c r="F170" s="2">
        <v>1.054</v>
      </c>
      <c r="G170" s="2">
        <v>-0.51290000000000002</v>
      </c>
      <c r="H170" s="2">
        <v>6.9660000000000002</v>
      </c>
      <c r="I170" s="2">
        <v>16478</v>
      </c>
      <c r="J170" s="2">
        <v>0.89549999999999996</v>
      </c>
      <c r="K170" s="2">
        <v>680.8</v>
      </c>
      <c r="L170" s="2">
        <v>0.19950000000000001</v>
      </c>
      <c r="M170" s="2">
        <v>0.27660000000000001</v>
      </c>
      <c r="N170">
        <f t="shared" si="30"/>
        <v>1.054E-3</v>
      </c>
      <c r="O170" s="7">
        <f t="shared" si="26"/>
        <v>23413373.864968143</v>
      </c>
      <c r="P170" s="7">
        <f t="shared" si="31"/>
        <v>738869887081118.63</v>
      </c>
      <c r="Q170">
        <f t="shared" si="32"/>
        <v>73394236000</v>
      </c>
      <c r="R170">
        <f t="shared" si="33"/>
        <v>47406827200000</v>
      </c>
      <c r="S170" s="1">
        <f t="shared" si="34"/>
        <v>1.9890000000000001E+33</v>
      </c>
      <c r="T170" s="1">
        <f t="shared" si="35"/>
        <v>1.7811494999999997E+33</v>
      </c>
      <c r="U170" s="8">
        <f t="shared" si="27"/>
        <v>8.5037777517244672E-15</v>
      </c>
      <c r="V170" s="11">
        <f t="shared" si="28"/>
        <v>2.9635405016774341E+54</v>
      </c>
      <c r="W170" s="1">
        <f t="shared" si="29"/>
        <v>2.1374776937261318E+54</v>
      </c>
      <c r="X170">
        <f t="shared" si="36"/>
        <v>54.471810866967246</v>
      </c>
      <c r="Y170">
        <f t="shared" si="37"/>
        <v>54.329901591216725</v>
      </c>
      <c r="AA170" s="10">
        <f t="shared" si="38"/>
        <v>23.413373864968143</v>
      </c>
    </row>
    <row r="171" spans="1:27" x14ac:dyDescent="0.25">
      <c r="A171" s="2">
        <v>1</v>
      </c>
      <c r="B171" s="2">
        <v>7.381005</v>
      </c>
      <c r="C171" s="6">
        <v>3.7046651854545289</v>
      </c>
      <c r="D171" s="2">
        <v>-0.182</v>
      </c>
      <c r="E171" s="2">
        <v>4392</v>
      </c>
      <c r="F171" s="2">
        <v>1.054</v>
      </c>
      <c r="G171" s="2">
        <v>-0.51290000000000002</v>
      </c>
      <c r="H171" s="2">
        <v>6.976</v>
      </c>
      <c r="I171" s="2">
        <v>16774</v>
      </c>
      <c r="J171" s="2">
        <v>0.9083</v>
      </c>
      <c r="K171" s="2">
        <v>692.3</v>
      </c>
      <c r="L171" s="2">
        <v>0.1885</v>
      </c>
      <c r="M171" s="2">
        <v>0.27729999999999999</v>
      </c>
      <c r="N171">
        <f t="shared" si="30"/>
        <v>1.054E-3</v>
      </c>
      <c r="O171" s="7">
        <f t="shared" si="26"/>
        <v>24043904.814159892</v>
      </c>
      <c r="P171" s="7">
        <f t="shared" si="31"/>
        <v>758767930563332.25</v>
      </c>
      <c r="Q171">
        <f t="shared" si="32"/>
        <v>73394236000</v>
      </c>
      <c r="R171">
        <f t="shared" si="33"/>
        <v>48207618200000</v>
      </c>
      <c r="S171" s="1">
        <f t="shared" si="34"/>
        <v>1.9890000000000001E+33</v>
      </c>
      <c r="T171" s="1">
        <f t="shared" si="35"/>
        <v>1.8066087000000002E+33</v>
      </c>
      <c r="U171" s="8">
        <f t="shared" si="27"/>
        <v>8.2807734144941517E-15</v>
      </c>
      <c r="V171" s="11">
        <f t="shared" si="28"/>
        <v>2.9710404234098059E+54</v>
      </c>
      <c r="W171" s="1">
        <f t="shared" si="29"/>
        <v>2.0196217807888511E+54</v>
      </c>
      <c r="X171">
        <f t="shared" si="36"/>
        <v>54.47290856077182</v>
      </c>
      <c r="Y171">
        <f t="shared" si="37"/>
        <v>54.305270045735767</v>
      </c>
      <c r="AA171" s="10">
        <f t="shared" si="38"/>
        <v>24.043904814159891</v>
      </c>
    </row>
    <row r="172" spans="1:27" x14ac:dyDescent="0.25">
      <c r="A172" s="2">
        <v>1</v>
      </c>
      <c r="B172" s="2">
        <v>7.3893469999999999</v>
      </c>
      <c r="C172" s="6">
        <v>3.7075701760979363</v>
      </c>
      <c r="D172" s="2">
        <v>-0.16900000000000001</v>
      </c>
      <c r="E172" s="2">
        <v>4391</v>
      </c>
      <c r="F172" s="2">
        <v>1.0549999999999999</v>
      </c>
      <c r="G172" s="2">
        <v>-0.51290000000000002</v>
      </c>
      <c r="H172" s="2">
        <v>6.9829999999999997</v>
      </c>
      <c r="I172" s="2">
        <v>16990</v>
      </c>
      <c r="J172" s="2">
        <v>0.91210000000000002</v>
      </c>
      <c r="K172" s="2">
        <v>691.8</v>
      </c>
      <c r="L172" s="2">
        <v>0.18440000000000001</v>
      </c>
      <c r="M172" s="2">
        <v>0.27500000000000002</v>
      </c>
      <c r="N172">
        <f t="shared" si="30"/>
        <v>1.0549999999999999E-3</v>
      </c>
      <c r="O172" s="7">
        <f t="shared" si="26"/>
        <v>24510208.18039215</v>
      </c>
      <c r="P172" s="7">
        <f t="shared" si="31"/>
        <v>773483345673543.25</v>
      </c>
      <c r="Q172">
        <f t="shared" si="32"/>
        <v>73463870000</v>
      </c>
      <c r="R172">
        <f t="shared" si="33"/>
        <v>48172801199999.992</v>
      </c>
      <c r="S172" s="1">
        <f t="shared" si="34"/>
        <v>1.9890000000000001E+33</v>
      </c>
      <c r="T172" s="1">
        <f t="shared" si="35"/>
        <v>1.8141668999999999E+33</v>
      </c>
      <c r="U172" s="8">
        <f t="shared" si="27"/>
        <v>8.1232328301887834E-15</v>
      </c>
      <c r="V172" s="11">
        <f t="shared" si="28"/>
        <v>2.9519913633662804E+54</v>
      </c>
      <c r="W172" s="1">
        <f t="shared" si="29"/>
        <v>1.979444390562698E+54</v>
      </c>
      <c r="X172">
        <f t="shared" si="36"/>
        <v>54.470115082538591</v>
      </c>
      <c r="Y172">
        <f t="shared" si="37"/>
        <v>54.296543305425935</v>
      </c>
      <c r="AA172" s="10">
        <f t="shared" si="38"/>
        <v>24.510208180392151</v>
      </c>
    </row>
    <row r="173" spans="1:27" x14ac:dyDescent="0.25">
      <c r="A173" s="2">
        <v>1</v>
      </c>
      <c r="B173" s="2">
        <v>7.3999920000000001</v>
      </c>
      <c r="C173" s="6">
        <v>3.7115541682501694</v>
      </c>
      <c r="D173" s="2">
        <v>-0.153</v>
      </c>
      <c r="E173" s="2">
        <v>4390</v>
      </c>
      <c r="F173" s="2">
        <v>1.056</v>
      </c>
      <c r="G173" s="2">
        <v>-0.51290000000000002</v>
      </c>
      <c r="H173" s="2">
        <v>6.992</v>
      </c>
      <c r="I173" s="2">
        <v>17266</v>
      </c>
      <c r="J173" s="2">
        <v>0.9194</v>
      </c>
      <c r="K173" s="2">
        <v>696.1</v>
      </c>
      <c r="L173" s="2">
        <v>0.17710000000000001</v>
      </c>
      <c r="M173" s="2">
        <v>0.2732</v>
      </c>
      <c r="N173">
        <f t="shared" si="30"/>
        <v>1.0560000000000001E-3</v>
      </c>
      <c r="O173" s="7">
        <f t="shared" si="26"/>
        <v>25118401.612777304</v>
      </c>
      <c r="P173" s="7">
        <f t="shared" si="31"/>
        <v>792676470735381</v>
      </c>
      <c r="Q173">
        <f t="shared" si="32"/>
        <v>73533504000</v>
      </c>
      <c r="R173">
        <f t="shared" si="33"/>
        <v>48472227400000</v>
      </c>
      <c r="S173" s="1">
        <f t="shared" si="34"/>
        <v>1.9890000000000001E+33</v>
      </c>
      <c r="T173" s="1">
        <f t="shared" si="35"/>
        <v>1.8286866E+33</v>
      </c>
      <c r="U173" s="8">
        <f t="shared" si="27"/>
        <v>7.9265444845998223E-15</v>
      </c>
      <c r="V173" s="11">
        <f t="shared" si="28"/>
        <v>2.9382314354791955E+54</v>
      </c>
      <c r="W173" s="1">
        <f t="shared" si="29"/>
        <v>1.9046880937897714E+54</v>
      </c>
      <c r="X173">
        <f t="shared" si="36"/>
        <v>54.468086000845986</v>
      </c>
      <c r="Y173">
        <f t="shared" si="37"/>
        <v>54.279823867026565</v>
      </c>
      <c r="AA173" s="10">
        <f t="shared" si="38"/>
        <v>25.118401612777305</v>
      </c>
    </row>
    <row r="174" spans="1:27" x14ac:dyDescent="0.25">
      <c r="A174" s="2">
        <v>1</v>
      </c>
      <c r="B174" s="2">
        <v>7.4101780000000002</v>
      </c>
      <c r="C174" s="6">
        <v>3.7155019452932838</v>
      </c>
      <c r="D174" s="2">
        <v>-0.13600000000000001</v>
      </c>
      <c r="E174" s="2">
        <v>4389</v>
      </c>
      <c r="F174" s="2">
        <v>1.0569999999999999</v>
      </c>
      <c r="G174" s="2">
        <v>-0.51290000000000002</v>
      </c>
      <c r="H174" s="2">
        <v>7.0019999999999998</v>
      </c>
      <c r="I174" s="2">
        <v>17531</v>
      </c>
      <c r="J174" s="2">
        <v>0.92920000000000003</v>
      </c>
      <c r="K174" s="2">
        <v>706.7</v>
      </c>
      <c r="L174" s="2">
        <v>0.1673</v>
      </c>
      <c r="M174" s="2">
        <v>0.27279999999999999</v>
      </c>
      <c r="N174">
        <f t="shared" si="30"/>
        <v>1.057E-3</v>
      </c>
      <c r="O174" s="7">
        <f t="shared" si="26"/>
        <v>25714495.014849957</v>
      </c>
      <c r="P174" s="7">
        <f t="shared" si="31"/>
        <v>811487747880629</v>
      </c>
      <c r="Q174">
        <f t="shared" si="32"/>
        <v>73603138000</v>
      </c>
      <c r="R174">
        <f t="shared" si="33"/>
        <v>49210347800000</v>
      </c>
      <c r="S174" s="1">
        <f t="shared" si="34"/>
        <v>1.9890000000000001E+33</v>
      </c>
      <c r="T174" s="1">
        <f t="shared" si="35"/>
        <v>1.8481787999999999E+33</v>
      </c>
      <c r="U174" s="8">
        <f t="shared" si="27"/>
        <v>7.7427975019825589E-15</v>
      </c>
      <c r="V174" s="11">
        <f t="shared" si="28"/>
        <v>2.9394888017248276E+54</v>
      </c>
      <c r="W174" s="1">
        <f t="shared" si="29"/>
        <v>1.8026996940196616E+54</v>
      </c>
      <c r="X174">
        <f t="shared" si="36"/>
        <v>54.468271810040193</v>
      </c>
      <c r="Y174">
        <f t="shared" si="37"/>
        <v>54.25592338501815</v>
      </c>
      <c r="AA174" s="10">
        <f t="shared" si="38"/>
        <v>25.714495014849955</v>
      </c>
    </row>
    <row r="175" spans="1:27" x14ac:dyDescent="0.25">
      <c r="A175" s="2">
        <v>1</v>
      </c>
      <c r="B175" s="2">
        <v>7.4199809999999999</v>
      </c>
      <c r="C175" s="6">
        <v>3.7193312869837265</v>
      </c>
      <c r="D175" s="2">
        <v>-0.12</v>
      </c>
      <c r="E175" s="2">
        <v>4389</v>
      </c>
      <c r="F175" s="2">
        <v>1.0580000000000001</v>
      </c>
      <c r="G175" s="2">
        <v>-0.51290000000000002</v>
      </c>
      <c r="H175" s="2">
        <v>7.0119999999999996</v>
      </c>
      <c r="I175" s="2">
        <v>17791</v>
      </c>
      <c r="J175" s="2">
        <v>0.93500000000000005</v>
      </c>
      <c r="K175" s="2">
        <v>710.4</v>
      </c>
      <c r="L175" s="2">
        <v>0.16059999999999999</v>
      </c>
      <c r="M175" s="2">
        <v>0.2707</v>
      </c>
      <c r="N175">
        <f t="shared" si="30"/>
        <v>1.0580000000000001E-3</v>
      </c>
      <c r="O175" s="7">
        <f t="shared" si="26"/>
        <v>26301529.225109879</v>
      </c>
      <c r="P175" s="7">
        <f t="shared" si="31"/>
        <v>830013138674327.5</v>
      </c>
      <c r="Q175">
        <f t="shared" si="32"/>
        <v>73672772000</v>
      </c>
      <c r="R175">
        <f t="shared" si="33"/>
        <v>49467993600000</v>
      </c>
      <c r="S175" s="1">
        <f t="shared" si="34"/>
        <v>1.9890000000000001E+33</v>
      </c>
      <c r="T175" s="1">
        <f t="shared" si="35"/>
        <v>1.8597150000000001E+33</v>
      </c>
      <c r="U175" s="8">
        <f t="shared" si="27"/>
        <v>7.5699829489625969E-15</v>
      </c>
      <c r="V175" s="11">
        <f t="shared" si="28"/>
        <v>2.922382513918441E+54</v>
      </c>
      <c r="W175" s="1">
        <f t="shared" si="29"/>
        <v>1.7337814249549378E+54</v>
      </c>
      <c r="X175">
        <f t="shared" si="36"/>
        <v>54.46573706060974</v>
      </c>
      <c r="Y175">
        <f t="shared" si="37"/>
        <v>54.238994345781897</v>
      </c>
      <c r="AA175" s="10">
        <f t="shared" si="38"/>
        <v>26.301529225109878</v>
      </c>
    </row>
    <row r="176" spans="1:27" x14ac:dyDescent="0.25">
      <c r="A176" s="2">
        <v>1</v>
      </c>
      <c r="B176" s="2">
        <v>7.4293839999999998</v>
      </c>
      <c r="C176" s="6">
        <v>3.7231271587956916</v>
      </c>
      <c r="D176" s="2">
        <v>-0.104</v>
      </c>
      <c r="E176" s="2">
        <v>4388</v>
      </c>
      <c r="F176" s="2">
        <v>1.0589999999999999</v>
      </c>
      <c r="G176" s="2">
        <v>-0.51290000000000002</v>
      </c>
      <c r="H176" s="2">
        <v>7.0220000000000002</v>
      </c>
      <c r="I176" s="2">
        <v>18029</v>
      </c>
      <c r="J176" s="2">
        <v>0.9405</v>
      </c>
      <c r="K176" s="2">
        <v>714.4</v>
      </c>
      <c r="L176" s="2">
        <v>0.15409999999999999</v>
      </c>
      <c r="M176" s="2">
        <v>0.26850000000000002</v>
      </c>
      <c r="N176">
        <f t="shared" si="30"/>
        <v>1.059E-3</v>
      </c>
      <c r="O176" s="7">
        <f t="shared" si="26"/>
        <v>26877198.575552661</v>
      </c>
      <c r="P176" s="7">
        <f t="shared" si="31"/>
        <v>848179881767860.63</v>
      </c>
      <c r="Q176">
        <f t="shared" si="32"/>
        <v>73742406000</v>
      </c>
      <c r="R176">
        <f t="shared" si="33"/>
        <v>49746529599999.992</v>
      </c>
      <c r="S176" s="1">
        <f t="shared" si="34"/>
        <v>1.9890000000000001E+33</v>
      </c>
      <c r="T176" s="1">
        <f t="shared" si="35"/>
        <v>1.8706544999999999E+33</v>
      </c>
      <c r="U176" s="8">
        <f t="shared" si="27"/>
        <v>7.4078452486795004E-15</v>
      </c>
      <c r="V176" s="11">
        <f t="shared" si="28"/>
        <v>2.9041141287087432E+54</v>
      </c>
      <c r="W176" s="1">
        <f t="shared" si="29"/>
        <v>1.6667560045959674E+54</v>
      </c>
      <c r="X176">
        <f t="shared" si="36"/>
        <v>54.463013679691443</v>
      </c>
      <c r="Y176">
        <f t="shared" si="37"/>
        <v>54.221872028374293</v>
      </c>
      <c r="AA176" s="10">
        <f t="shared" si="38"/>
        <v>26.877198575552661</v>
      </c>
    </row>
    <row r="177" spans="1:27" x14ac:dyDescent="0.25">
      <c r="A177" s="2">
        <v>1</v>
      </c>
      <c r="B177" s="2">
        <v>7.4406749999999997</v>
      </c>
      <c r="C177" s="6">
        <v>3.7277038836853542</v>
      </c>
      <c r="D177" s="2">
        <v>-8.5000000000000006E-2</v>
      </c>
      <c r="E177" s="2">
        <v>4387</v>
      </c>
      <c r="F177" s="2">
        <v>1.0589999999999999</v>
      </c>
      <c r="G177" s="2">
        <v>-0.51290000000000002</v>
      </c>
      <c r="H177" s="2">
        <v>7.0339999999999998</v>
      </c>
      <c r="I177" s="2">
        <v>18302</v>
      </c>
      <c r="J177" s="2">
        <v>0.94769999999999999</v>
      </c>
      <c r="K177" s="2">
        <v>721.6</v>
      </c>
      <c r="L177" s="2">
        <v>0.1452</v>
      </c>
      <c r="M177" s="2">
        <v>0.26630000000000004</v>
      </c>
      <c r="N177">
        <f t="shared" si="30"/>
        <v>1.059E-3</v>
      </c>
      <c r="O177" s="7">
        <f t="shared" si="26"/>
        <v>27585127.777458645</v>
      </c>
      <c r="P177" s="7">
        <f t="shared" si="31"/>
        <v>870520428349929</v>
      </c>
      <c r="Q177">
        <f t="shared" si="32"/>
        <v>73742406000</v>
      </c>
      <c r="R177">
        <f t="shared" si="33"/>
        <v>50247894400000.008</v>
      </c>
      <c r="S177" s="1">
        <f t="shared" si="34"/>
        <v>1.9890000000000001E+33</v>
      </c>
      <c r="T177" s="1">
        <f t="shared" si="35"/>
        <v>1.8849752999999999E+33</v>
      </c>
      <c r="U177" s="8">
        <f t="shared" si="27"/>
        <v>7.2177344753291552E-15</v>
      </c>
      <c r="V177" s="11">
        <f t="shared" si="28"/>
        <v>2.8803187801681131E+54</v>
      </c>
      <c r="W177" s="1">
        <f t="shared" si="29"/>
        <v>1.5704930036815993E+54</v>
      </c>
      <c r="X177">
        <f t="shared" si="36"/>
        <v>54.459440556094812</v>
      </c>
      <c r="Y177">
        <f t="shared" si="37"/>
        <v>54.196036006019945</v>
      </c>
      <c r="AA177" s="10">
        <f t="shared" si="38"/>
        <v>27.585127777458645</v>
      </c>
    </row>
    <row r="178" spans="1:27" x14ac:dyDescent="0.25">
      <c r="A178" s="2">
        <v>1</v>
      </c>
      <c r="B178" s="2">
        <v>7.449414</v>
      </c>
      <c r="C178" s="6">
        <v>3.7312663490754918</v>
      </c>
      <c r="D178" s="2">
        <v>-7.0999999999999994E-2</v>
      </c>
      <c r="E178" s="2">
        <v>4388</v>
      </c>
      <c r="F178" s="2">
        <v>1.0589999999999999</v>
      </c>
      <c r="G178" s="2">
        <v>-0.51290000000000002</v>
      </c>
      <c r="H178" s="2">
        <v>7.0449999999999999</v>
      </c>
      <c r="I178" s="2">
        <v>18495</v>
      </c>
      <c r="J178" s="2">
        <v>0.95269999999999999</v>
      </c>
      <c r="K178" s="2">
        <v>726.5</v>
      </c>
      <c r="L178" s="2">
        <v>0.13869999999999999</v>
      </c>
      <c r="M178" s="2">
        <v>0.26450000000000001</v>
      </c>
      <c r="N178">
        <f t="shared" si="30"/>
        <v>1.059E-3</v>
      </c>
      <c r="O178" s="7">
        <f t="shared" si="26"/>
        <v>28145826.097731974</v>
      </c>
      <c r="P178" s="7">
        <f t="shared" si="31"/>
        <v>888214721661786.5</v>
      </c>
      <c r="Q178">
        <f t="shared" si="32"/>
        <v>73742406000</v>
      </c>
      <c r="R178">
        <f t="shared" si="33"/>
        <v>50589101000000</v>
      </c>
      <c r="S178" s="1">
        <f t="shared" si="34"/>
        <v>1.9890000000000001E+33</v>
      </c>
      <c r="T178" s="1">
        <f t="shared" si="35"/>
        <v>1.8949202999999999E+33</v>
      </c>
      <c r="U178" s="8">
        <f t="shared" si="27"/>
        <v>7.0739486229458054E-15</v>
      </c>
      <c r="V178" s="11">
        <f t="shared" si="28"/>
        <v>2.8608498586348697E+54</v>
      </c>
      <c r="W178" s="1">
        <f t="shared" si="29"/>
        <v>1.5001885648115553E+54</v>
      </c>
      <c r="X178">
        <f t="shared" si="36"/>
        <v>54.456495066027074</v>
      </c>
      <c r="Y178">
        <f t="shared" si="37"/>
        <v>54.176145850729156</v>
      </c>
      <c r="AA178" s="10">
        <f t="shared" si="38"/>
        <v>28.145826097731973</v>
      </c>
    </row>
    <row r="179" spans="1:27" x14ac:dyDescent="0.25">
      <c r="A179" s="2">
        <v>1</v>
      </c>
      <c r="B179" s="2">
        <v>7.4605079999999999</v>
      </c>
      <c r="C179" s="6">
        <v>3.7356787259059048</v>
      </c>
      <c r="D179" s="2">
        <v>-5.3999999999999999E-2</v>
      </c>
      <c r="E179" s="2">
        <v>4388</v>
      </c>
      <c r="F179" s="2">
        <v>1.0580000000000001</v>
      </c>
      <c r="G179" s="2">
        <v>-0.51290000000000002</v>
      </c>
      <c r="H179" s="2">
        <v>7.06</v>
      </c>
      <c r="I179" s="2">
        <v>18701</v>
      </c>
      <c r="J179" s="2">
        <v>0.95779999999999998</v>
      </c>
      <c r="K179" s="2">
        <v>730.1</v>
      </c>
      <c r="L179" s="2">
        <v>0.13140000000000002</v>
      </c>
      <c r="M179" s="2">
        <v>0.26180000000000003</v>
      </c>
      <c r="N179">
        <f t="shared" si="30"/>
        <v>1.0580000000000001E-3</v>
      </c>
      <c r="O179" s="7">
        <f t="shared" si="26"/>
        <v>28874069.667009223</v>
      </c>
      <c r="P179" s="7">
        <f t="shared" si="31"/>
        <v>911196340923610.25</v>
      </c>
      <c r="Q179">
        <f t="shared" si="32"/>
        <v>73672772000</v>
      </c>
      <c r="R179">
        <f t="shared" si="33"/>
        <v>50839783400000.008</v>
      </c>
      <c r="S179" s="1">
        <f t="shared" si="34"/>
        <v>1.9890000000000001E+33</v>
      </c>
      <c r="T179" s="1">
        <f t="shared" si="35"/>
        <v>1.9050641999999999E+33</v>
      </c>
      <c r="U179" s="8">
        <f t="shared" si="27"/>
        <v>6.895533953539366E-15</v>
      </c>
      <c r="V179" s="11">
        <f t="shared" si="28"/>
        <v>2.8263012269813372E+54</v>
      </c>
      <c r="W179" s="1">
        <f t="shared" si="29"/>
        <v>1.4185484385994947E+54</v>
      </c>
      <c r="X179">
        <f t="shared" si="36"/>
        <v>54.451218447053975</v>
      </c>
      <c r="Y179">
        <f t="shared" si="37"/>
        <v>54.151844170063001</v>
      </c>
      <c r="AA179" s="10">
        <f t="shared" si="38"/>
        <v>28.874069667009223</v>
      </c>
    </row>
    <row r="180" spans="1:27" x14ac:dyDescent="0.25">
      <c r="A180" s="2">
        <v>1</v>
      </c>
      <c r="B180" s="2">
        <v>7.4710859999999997</v>
      </c>
      <c r="C180" s="6">
        <v>3.7396514437093766</v>
      </c>
      <c r="D180" s="2">
        <v>-0.04</v>
      </c>
      <c r="E180" s="2">
        <v>4390</v>
      </c>
      <c r="F180" s="2">
        <v>1.056</v>
      </c>
      <c r="G180" s="2">
        <v>-0.51290000000000002</v>
      </c>
      <c r="H180" s="2">
        <v>7.0750000000000002</v>
      </c>
      <c r="I180" s="2">
        <v>18846</v>
      </c>
      <c r="J180" s="2">
        <v>0.96240000000000003</v>
      </c>
      <c r="K180" s="2">
        <v>733.2</v>
      </c>
      <c r="L180" s="2">
        <v>0.1245</v>
      </c>
      <c r="M180" s="2">
        <v>0.2596</v>
      </c>
      <c r="N180">
        <f t="shared" si="30"/>
        <v>1.0560000000000001E-3</v>
      </c>
      <c r="O180" s="7">
        <f t="shared" si="26"/>
        <v>29585982.770367049</v>
      </c>
      <c r="P180" s="7">
        <f t="shared" si="31"/>
        <v>933662609874135.13</v>
      </c>
      <c r="Q180">
        <f t="shared" si="32"/>
        <v>73533504000</v>
      </c>
      <c r="R180">
        <f t="shared" si="33"/>
        <v>51055648800000</v>
      </c>
      <c r="S180" s="1">
        <f t="shared" si="34"/>
        <v>1.9890000000000001E+33</v>
      </c>
      <c r="T180" s="1">
        <f t="shared" si="35"/>
        <v>1.9142136E+33</v>
      </c>
      <c r="U180" s="8">
        <f t="shared" si="27"/>
        <v>6.7296100761993755E-15</v>
      </c>
      <c r="V180" s="11">
        <f t="shared" si="28"/>
        <v>2.7919651561141985E+54</v>
      </c>
      <c r="W180" s="1">
        <f t="shared" si="29"/>
        <v>1.3389817485986816E+54</v>
      </c>
      <c r="X180">
        <f t="shared" si="36"/>
        <v>54.445909993964818</v>
      </c>
      <c r="Y180">
        <f t="shared" si="37"/>
        <v>54.126774657268243</v>
      </c>
      <c r="AA180" s="10">
        <f t="shared" si="38"/>
        <v>29.58598277036705</v>
      </c>
    </row>
    <row r="181" spans="1:27" x14ac:dyDescent="0.25">
      <c r="A181" s="2">
        <v>1</v>
      </c>
      <c r="B181" s="2">
        <v>7.4796860000000001</v>
      </c>
      <c r="C181" s="6">
        <v>3.7427251313046983</v>
      </c>
      <c r="D181" s="2">
        <v>-3.1E-2</v>
      </c>
      <c r="E181" s="2">
        <v>4393</v>
      </c>
      <c r="F181" s="2">
        <v>1.052</v>
      </c>
      <c r="G181" s="2">
        <v>-0.51290000000000002</v>
      </c>
      <c r="H181" s="2">
        <v>7.0869999999999997</v>
      </c>
      <c r="I181" s="2">
        <v>18932</v>
      </c>
      <c r="J181" s="2">
        <v>0.96650000000000003</v>
      </c>
      <c r="K181" s="2">
        <v>737.9</v>
      </c>
      <c r="L181" s="2">
        <v>0.1183</v>
      </c>
      <c r="M181" s="2">
        <v>0.2586</v>
      </c>
      <c r="N181">
        <f t="shared" si="30"/>
        <v>1.052E-3</v>
      </c>
      <c r="O181" s="7">
        <f t="shared" si="26"/>
        <v>30177690.490603115</v>
      </c>
      <c r="P181" s="7">
        <f t="shared" si="31"/>
        <v>952335485426256.88</v>
      </c>
      <c r="Q181">
        <f t="shared" si="32"/>
        <v>73254968000</v>
      </c>
      <c r="R181">
        <f t="shared" si="33"/>
        <v>51382928599999.992</v>
      </c>
      <c r="S181" s="1">
        <f t="shared" si="34"/>
        <v>1.9890000000000001E+33</v>
      </c>
      <c r="T181" s="1">
        <f t="shared" si="35"/>
        <v>1.9223685000000002E+33</v>
      </c>
      <c r="U181" s="8">
        <f t="shared" si="27"/>
        <v>6.5976595468006619E-15</v>
      </c>
      <c r="V181" s="11">
        <f t="shared" si="28"/>
        <v>2.7601804126397029E+54</v>
      </c>
      <c r="W181" s="1">
        <f t="shared" si="29"/>
        <v>1.2626811400436076E+54</v>
      </c>
      <c r="X181">
        <f t="shared" si="36"/>
        <v>54.440937469620721</v>
      </c>
      <c r="Y181">
        <f t="shared" si="37"/>
        <v>54.101293693704271</v>
      </c>
      <c r="AA181" s="10">
        <f t="shared" si="38"/>
        <v>30.177690490603116</v>
      </c>
    </row>
    <row r="182" spans="1:27" x14ac:dyDescent="0.25">
      <c r="A182" s="2">
        <v>1</v>
      </c>
      <c r="B182" s="2">
        <v>7.4907029999999999</v>
      </c>
      <c r="C182" s="6">
        <v>3.7460890430562004</v>
      </c>
      <c r="D182" s="2">
        <v>-2.4E-2</v>
      </c>
      <c r="E182" s="2">
        <v>4400</v>
      </c>
      <c r="F182" s="2">
        <v>1.0449999999999999</v>
      </c>
      <c r="G182" s="2">
        <v>-0.51290000000000002</v>
      </c>
      <c r="H182" s="2">
        <v>7.0990000000000002</v>
      </c>
      <c r="I182" s="2">
        <v>18999</v>
      </c>
      <c r="J182" s="2">
        <v>0.97009999999999996</v>
      </c>
      <c r="K182" s="2">
        <v>738.5</v>
      </c>
      <c r="L182" s="2">
        <v>0.11220000000000001</v>
      </c>
      <c r="M182" s="2">
        <v>0.25739999999999996</v>
      </c>
      <c r="N182">
        <f t="shared" si="30"/>
        <v>1.0449999999999999E-3</v>
      </c>
      <c r="O182" s="7">
        <f t="shared" si="26"/>
        <v>30953017.981074683</v>
      </c>
      <c r="P182" s="7">
        <f t="shared" si="31"/>
        <v>976802960239562.38</v>
      </c>
      <c r="Q182">
        <f t="shared" si="32"/>
        <v>72767530000</v>
      </c>
      <c r="R182">
        <f t="shared" si="33"/>
        <v>51424709000000</v>
      </c>
      <c r="S182" s="1">
        <f t="shared" si="34"/>
        <v>1.9890000000000001E+33</v>
      </c>
      <c r="T182" s="1">
        <f t="shared" si="35"/>
        <v>1.9295289E+33</v>
      </c>
      <c r="U182" s="8">
        <f t="shared" si="27"/>
        <v>6.4323978969500931E-15</v>
      </c>
      <c r="V182" s="11">
        <f t="shared" si="28"/>
        <v>2.7109318056566004E+54</v>
      </c>
      <c r="W182" s="1">
        <f t="shared" si="29"/>
        <v>1.1816882229785184E+54</v>
      </c>
      <c r="X182">
        <f t="shared" si="36"/>
        <v>54.433118592903412</v>
      </c>
      <c r="Y182">
        <f t="shared" si="37"/>
        <v>54.072502907255192</v>
      </c>
      <c r="AA182" s="10">
        <f t="shared" si="38"/>
        <v>30.953017981074684</v>
      </c>
    </row>
    <row r="183" spans="1:27" x14ac:dyDescent="0.25">
      <c r="A183" s="2">
        <v>1</v>
      </c>
      <c r="B183" s="2">
        <v>7.4993800000000004</v>
      </c>
      <c r="C183" s="6">
        <v>3.7481880270062002</v>
      </c>
      <c r="D183" s="2">
        <v>-2.3E-2</v>
      </c>
      <c r="E183" s="2">
        <v>4407</v>
      </c>
      <c r="F183" s="2">
        <v>1.036</v>
      </c>
      <c r="G183" s="2">
        <v>-0.51290000000000002</v>
      </c>
      <c r="H183" s="2">
        <v>7.1079999999999997</v>
      </c>
      <c r="I183" s="2">
        <v>19019</v>
      </c>
      <c r="J183" s="2">
        <v>0.97299999999999998</v>
      </c>
      <c r="K183" s="2">
        <v>739.5</v>
      </c>
      <c r="L183" s="2">
        <v>0.10729999999999999</v>
      </c>
      <c r="M183" s="2">
        <v>0.2576</v>
      </c>
      <c r="N183">
        <f t="shared" si="30"/>
        <v>1.036E-3</v>
      </c>
      <c r="O183" s="7">
        <f t="shared" si="26"/>
        <v>31577664.047667567</v>
      </c>
      <c r="P183" s="7">
        <f t="shared" si="31"/>
        <v>996515290950674</v>
      </c>
      <c r="Q183">
        <f t="shared" si="32"/>
        <v>72140824000</v>
      </c>
      <c r="R183">
        <f t="shared" si="33"/>
        <v>51494343000000</v>
      </c>
      <c r="S183" s="1">
        <f t="shared" si="34"/>
        <v>1.9890000000000001E+33</v>
      </c>
      <c r="T183" s="1">
        <f t="shared" si="35"/>
        <v>1.9352969999999998E+33</v>
      </c>
      <c r="U183" s="8">
        <f t="shared" si="27"/>
        <v>6.3051569446420006E-15</v>
      </c>
      <c r="V183" s="11">
        <f t="shared" si="28"/>
        <v>2.6665076805140585E+54</v>
      </c>
      <c r="W183" s="1">
        <f t="shared" si="29"/>
        <v>1.1106998218911431E+54</v>
      </c>
      <c r="X183">
        <f t="shared" si="36"/>
        <v>54.425942838947101</v>
      </c>
      <c r="Y183">
        <f t="shared" si="37"/>
        <v>54.045596702225282</v>
      </c>
      <c r="AA183" s="10">
        <f t="shared" si="38"/>
        <v>31.577664047667568</v>
      </c>
    </row>
    <row r="184" spans="1:27" x14ac:dyDescent="0.25">
      <c r="A184" s="2">
        <v>1</v>
      </c>
      <c r="B184" s="2">
        <v>7.510116</v>
      </c>
      <c r="C184" s="6">
        <v>3.7501225267834002</v>
      </c>
      <c r="D184" s="2">
        <v>-2.7E-2</v>
      </c>
      <c r="E184" s="2">
        <v>4419</v>
      </c>
      <c r="F184" s="2">
        <v>1.022</v>
      </c>
      <c r="G184" s="2">
        <v>-0.51290000000000002</v>
      </c>
      <c r="H184" s="2">
        <v>7.117</v>
      </c>
      <c r="I184" s="2">
        <v>19013</v>
      </c>
      <c r="J184" s="2">
        <v>0.97489999999999999</v>
      </c>
      <c r="K184" s="2">
        <v>733.5</v>
      </c>
      <c r="L184" s="2">
        <v>0.1038</v>
      </c>
      <c r="M184" s="2">
        <v>0.2581</v>
      </c>
      <c r="N184">
        <f t="shared" si="30"/>
        <v>1.0220000000000001E-3</v>
      </c>
      <c r="O184" s="7">
        <f t="shared" si="26"/>
        <v>32368010.029757466</v>
      </c>
      <c r="P184" s="7">
        <f t="shared" si="31"/>
        <v>1021456713315074.3</v>
      </c>
      <c r="Q184">
        <f t="shared" si="32"/>
        <v>71165948000</v>
      </c>
      <c r="R184">
        <f t="shared" si="33"/>
        <v>51076539000000</v>
      </c>
      <c r="S184" s="1">
        <f t="shared" si="34"/>
        <v>1.9890000000000001E+33</v>
      </c>
      <c r="T184" s="1">
        <f t="shared" si="35"/>
        <v>1.9390760999999998E+33</v>
      </c>
      <c r="U184" s="8">
        <f t="shared" si="27"/>
        <v>6.151200756014319E-15</v>
      </c>
      <c r="V184" s="11">
        <f t="shared" si="28"/>
        <v>2.5999635866896004E+54</v>
      </c>
      <c r="W184" s="1">
        <f t="shared" si="29"/>
        <v>1.0456265800014744E+54</v>
      </c>
      <c r="X184">
        <f t="shared" si="36"/>
        <v>54.414967265582156</v>
      </c>
      <c r="Y184">
        <f t="shared" si="37"/>
        <v>54.01937661455073</v>
      </c>
      <c r="AA184" s="10">
        <f t="shared" si="38"/>
        <v>32.368010029757464</v>
      </c>
    </row>
    <row r="185" spans="1:27" x14ac:dyDescent="0.25">
      <c r="A185" s="2">
        <v>1</v>
      </c>
      <c r="B185" s="2">
        <v>7.5209200000000003</v>
      </c>
      <c r="C185" s="6">
        <v>3.7512791039833422</v>
      </c>
      <c r="D185" s="2">
        <v>-3.6999999999999998E-2</v>
      </c>
      <c r="E185" s="2">
        <v>4434</v>
      </c>
      <c r="F185" s="2">
        <v>1.004</v>
      </c>
      <c r="G185" s="2">
        <v>-0.51290000000000002</v>
      </c>
      <c r="H185" s="2">
        <v>7.1230000000000002</v>
      </c>
      <c r="I185" s="2">
        <v>19008</v>
      </c>
      <c r="J185" s="2">
        <v>0.97619999999999996</v>
      </c>
      <c r="K185" s="2">
        <v>724.9</v>
      </c>
      <c r="L185" s="2">
        <v>0.1013</v>
      </c>
      <c r="M185" s="2">
        <v>0.2596</v>
      </c>
      <c r="N185">
        <f t="shared" si="30"/>
        <v>1.0039999999999999E-3</v>
      </c>
      <c r="O185" s="7">
        <f t="shared" si="26"/>
        <v>33183332.596477907</v>
      </c>
      <c r="P185" s="7">
        <f t="shared" si="31"/>
        <v>1047186336746611.3</v>
      </c>
      <c r="Q185">
        <f t="shared" si="32"/>
        <v>69912536000</v>
      </c>
      <c r="R185">
        <f t="shared" si="33"/>
        <v>50477686600000</v>
      </c>
      <c r="S185" s="1">
        <f t="shared" si="34"/>
        <v>1.9890000000000001E+33</v>
      </c>
      <c r="T185" s="1">
        <f t="shared" si="35"/>
        <v>1.9416618E+33</v>
      </c>
      <c r="U185" s="8">
        <f t="shared" si="27"/>
        <v>6.0000642547534833E-15</v>
      </c>
      <c r="V185" s="11">
        <f t="shared" si="28"/>
        <v>2.5237688934852881E+54</v>
      </c>
      <c r="W185" s="1">
        <f t="shared" si="29"/>
        <v>9.8481428701872001E+53</v>
      </c>
      <c r="X185">
        <f t="shared" si="36"/>
        <v>54.402049583187235</v>
      </c>
      <c r="Y185">
        <f t="shared" si="37"/>
        <v>53.993354340419181</v>
      </c>
      <c r="AA185" s="10">
        <f t="shared" si="38"/>
        <v>33.183332596477911</v>
      </c>
    </row>
    <row r="186" spans="1:27" x14ac:dyDescent="0.25">
      <c r="A186" s="2">
        <v>1</v>
      </c>
      <c r="B186" s="2">
        <v>7.529725</v>
      </c>
      <c r="C186" s="6">
        <v>3.7517408738109004</v>
      </c>
      <c r="D186" s="2">
        <v>-4.9000000000000002E-2</v>
      </c>
      <c r="E186" s="2">
        <v>4447</v>
      </c>
      <c r="F186" s="2">
        <v>9.8900000000000008E-4</v>
      </c>
      <c r="G186" s="2">
        <v>-0.51290000000000002</v>
      </c>
      <c r="H186" s="2">
        <v>7.1269999999999998</v>
      </c>
      <c r="I186" s="2">
        <v>19013</v>
      </c>
      <c r="J186" s="2">
        <v>0.97760000000000002</v>
      </c>
      <c r="K186" s="2">
        <v>719.6</v>
      </c>
      <c r="L186" s="2">
        <v>9.8890000000000006E-2</v>
      </c>
      <c r="M186" s="2">
        <v>0.26180000000000003</v>
      </c>
      <c r="N186">
        <f t="shared" si="30"/>
        <v>9.8899999999999998E-7</v>
      </c>
      <c r="O186" s="7">
        <f t="shared" si="26"/>
        <v>33862966.424241066</v>
      </c>
      <c r="P186" s="7">
        <f t="shared" si="31"/>
        <v>1068633949229629.9</v>
      </c>
      <c r="Q186">
        <f t="shared" si="32"/>
        <v>68868026</v>
      </c>
      <c r="R186">
        <f t="shared" si="33"/>
        <v>50108626400000</v>
      </c>
      <c r="S186" s="1">
        <f t="shared" si="34"/>
        <v>1.9890000000000001E+33</v>
      </c>
      <c r="T186" s="1">
        <f t="shared" si="35"/>
        <v>1.9444464E+33</v>
      </c>
      <c r="U186" s="8">
        <f t="shared" si="27"/>
        <v>5.8796422401787691E-15</v>
      </c>
      <c r="V186" s="11">
        <f t="shared" si="28"/>
        <v>2.4696743708357713E+48</v>
      </c>
      <c r="W186" s="1">
        <f t="shared" si="29"/>
        <v>9.328727980593943E+47</v>
      </c>
      <c r="X186">
        <f t="shared" si="36"/>
        <v>48.392639694849997</v>
      </c>
      <c r="Y186">
        <f t="shared" si="37"/>
        <v>47.969822429526715</v>
      </c>
      <c r="AA186" s="10">
        <f t="shared" si="38"/>
        <v>33.862966424241066</v>
      </c>
    </row>
    <row r="187" spans="1:27" x14ac:dyDescent="0.25">
      <c r="A187" s="2">
        <v>1</v>
      </c>
      <c r="B187" s="2">
        <v>7.5410510000000004</v>
      </c>
      <c r="C187" s="6">
        <v>3.7516639462609866</v>
      </c>
      <c r="D187" s="2">
        <v>-6.7000000000000004E-2</v>
      </c>
      <c r="E187" s="2">
        <v>4465</v>
      </c>
      <c r="F187" s="2">
        <v>9.68E-4</v>
      </c>
      <c r="G187" s="2">
        <v>-0.51290000000000002</v>
      </c>
      <c r="H187" s="2">
        <v>7.13</v>
      </c>
      <c r="I187" s="2">
        <v>19019</v>
      </c>
      <c r="J187" s="2">
        <v>0.97760000000000002</v>
      </c>
      <c r="K187" s="2">
        <v>705.5</v>
      </c>
      <c r="L187" s="2">
        <v>9.8949999999999996E-2</v>
      </c>
      <c r="M187" s="2">
        <v>0.26419999999999999</v>
      </c>
      <c r="N187">
        <f t="shared" si="30"/>
        <v>9.6800000000000009E-7</v>
      </c>
      <c r="O187" s="7">
        <f t="shared" si="26"/>
        <v>34757697.565041833</v>
      </c>
      <c r="P187" s="7">
        <f t="shared" si="31"/>
        <v>1096869516678564.1</v>
      </c>
      <c r="Q187">
        <f t="shared" si="32"/>
        <v>67405712</v>
      </c>
      <c r="R187">
        <f t="shared" si="33"/>
        <v>49126787000000</v>
      </c>
      <c r="S187" s="1">
        <f t="shared" si="34"/>
        <v>1.9890000000000001E+33</v>
      </c>
      <c r="T187" s="1">
        <f t="shared" si="35"/>
        <v>1.9444464E+33</v>
      </c>
      <c r="U187" s="8">
        <f t="shared" si="27"/>
        <v>5.7282887450512161E-15</v>
      </c>
      <c r="V187" s="11">
        <f t="shared" si="28"/>
        <v>2.3875968504881959E+48</v>
      </c>
      <c r="W187" s="1">
        <f t="shared" si="29"/>
        <v>8.9421918378428081E+47</v>
      </c>
      <c r="X187">
        <f t="shared" si="36"/>
        <v>48.377960997336196</v>
      </c>
      <c r="Y187">
        <f t="shared" si="37"/>
        <v>47.951443982600104</v>
      </c>
      <c r="AA187" s="10">
        <f t="shared" si="38"/>
        <v>34.757697565041831</v>
      </c>
    </row>
    <row r="188" spans="1:27" x14ac:dyDescent="0.25">
      <c r="A188" s="2">
        <v>1</v>
      </c>
      <c r="B188" s="2">
        <v>7.5509500000000003</v>
      </c>
      <c r="C188" s="6">
        <v>3.7512020945883533</v>
      </c>
      <c r="D188" s="2">
        <v>-8.4000000000000005E-2</v>
      </c>
      <c r="E188" s="2">
        <v>4480</v>
      </c>
      <c r="F188" s="2">
        <v>9.5199999999999994E-4</v>
      </c>
      <c r="G188" s="2">
        <v>-0.51290000000000002</v>
      </c>
      <c r="H188" s="2">
        <v>7.133</v>
      </c>
      <c r="I188" s="2">
        <v>19020</v>
      </c>
      <c r="J188" s="2">
        <v>0.97760000000000002</v>
      </c>
      <c r="K188" s="2">
        <v>695</v>
      </c>
      <c r="L188" s="2">
        <v>9.9089999999999998E-2</v>
      </c>
      <c r="M188" s="2">
        <v>0.26680000000000004</v>
      </c>
      <c r="N188">
        <f t="shared" si="30"/>
        <v>9.5199999999999995E-7</v>
      </c>
      <c r="O188" s="7">
        <f t="shared" si="26"/>
        <v>35559037.735716067</v>
      </c>
      <c r="P188" s="7">
        <f t="shared" si="31"/>
        <v>1122157889248633.4</v>
      </c>
      <c r="Q188">
        <f t="shared" si="32"/>
        <v>66291567.999999993</v>
      </c>
      <c r="R188">
        <f t="shared" si="33"/>
        <v>48395630000000</v>
      </c>
      <c r="S188" s="1">
        <f t="shared" si="34"/>
        <v>1.9890000000000001E+33</v>
      </c>
      <c r="T188" s="1">
        <f t="shared" si="35"/>
        <v>1.9444464E+33</v>
      </c>
      <c r="U188" s="8">
        <f t="shared" si="27"/>
        <v>5.5991989784847813E-15</v>
      </c>
      <c r="V188" s="11">
        <f t="shared" si="28"/>
        <v>2.3320464228726211E+48</v>
      </c>
      <c r="W188" s="1">
        <f t="shared" si="29"/>
        <v>8.6612623704065946E+47</v>
      </c>
      <c r="X188">
        <f t="shared" si="36"/>
        <v>48.36773719145436</v>
      </c>
      <c r="Y188">
        <f t="shared" si="37"/>
        <v>47.937581194620925</v>
      </c>
      <c r="AA188" s="10">
        <f t="shared" si="38"/>
        <v>35.559037735716068</v>
      </c>
    </row>
    <row r="189" spans="1:27" x14ac:dyDescent="0.25">
      <c r="A189" s="2">
        <v>1</v>
      </c>
      <c r="B189" s="2">
        <v>7.5610520000000001</v>
      </c>
      <c r="C189" s="6">
        <v>3.750354088762708</v>
      </c>
      <c r="D189" s="2">
        <v>-0.10100000000000001</v>
      </c>
      <c r="E189" s="2">
        <v>4494</v>
      </c>
      <c r="F189" s="2">
        <v>9.3700000000000001E-4</v>
      </c>
      <c r="G189" s="2">
        <v>-0.51290000000000002</v>
      </c>
      <c r="H189" s="2">
        <v>7.1340000000000003</v>
      </c>
      <c r="I189" s="2">
        <v>19011</v>
      </c>
      <c r="J189" s="2">
        <v>0.97760000000000002</v>
      </c>
      <c r="K189" s="2">
        <v>686.4</v>
      </c>
      <c r="L189" s="2">
        <v>9.9299999999999999E-2</v>
      </c>
      <c r="M189" s="2">
        <v>0.26950000000000002</v>
      </c>
      <c r="N189">
        <f t="shared" si="30"/>
        <v>9.3699999999999999E-7</v>
      </c>
      <c r="O189" s="7">
        <f t="shared" si="26"/>
        <v>36395861.189345546</v>
      </c>
      <c r="P189" s="7">
        <f t="shared" si="31"/>
        <v>1148566029068891</v>
      </c>
      <c r="Q189">
        <f t="shared" si="32"/>
        <v>65247058</v>
      </c>
      <c r="R189">
        <f t="shared" si="33"/>
        <v>47796777599999.992</v>
      </c>
      <c r="S189" s="1">
        <f t="shared" si="34"/>
        <v>1.9890000000000001E+33</v>
      </c>
      <c r="T189" s="1">
        <f t="shared" si="35"/>
        <v>1.9444464E+33</v>
      </c>
      <c r="U189" s="8">
        <f t="shared" si="27"/>
        <v>5.4704606858982081E-15</v>
      </c>
      <c r="V189" s="11">
        <f t="shared" si="28"/>
        <v>2.2819988474627822E+48</v>
      </c>
      <c r="W189" s="1">
        <f t="shared" si="29"/>
        <v>8.4082554936198234E+47</v>
      </c>
      <c r="X189">
        <f t="shared" si="36"/>
        <v>48.358315420739217</v>
      </c>
      <c r="Y189">
        <f t="shared" si="37"/>
        <v>47.924705899711839</v>
      </c>
      <c r="AA189" s="10">
        <f t="shared" si="38"/>
        <v>36.395861189345545</v>
      </c>
    </row>
    <row r="190" spans="1:27" x14ac:dyDescent="0.25">
      <c r="A190" s="2">
        <v>1</v>
      </c>
      <c r="B190" s="2">
        <v>7.5751980000000003</v>
      </c>
      <c r="C190" s="6">
        <v>3.7488854400095168</v>
      </c>
      <c r="D190" s="2">
        <v>-0.123</v>
      </c>
      <c r="E190" s="2">
        <v>4510</v>
      </c>
      <c r="F190" s="2">
        <v>9.2000000000000003E-4</v>
      </c>
      <c r="G190" s="2">
        <v>-0.51290000000000002</v>
      </c>
      <c r="H190" s="2">
        <v>7.1349999999999998</v>
      </c>
      <c r="I190" s="2">
        <v>18992</v>
      </c>
      <c r="J190" s="2">
        <v>0.97760000000000002</v>
      </c>
      <c r="K190" s="2">
        <v>677.7</v>
      </c>
      <c r="L190" s="2">
        <v>9.9610000000000004E-2</v>
      </c>
      <c r="M190" s="2">
        <v>0.27300000000000002</v>
      </c>
      <c r="N190">
        <f t="shared" si="30"/>
        <v>9.1999999999999998E-7</v>
      </c>
      <c r="O190" s="7">
        <f t="shared" si="26"/>
        <v>37600879.208003044</v>
      </c>
      <c r="P190" s="7">
        <f t="shared" si="31"/>
        <v>1186593505694476.8</v>
      </c>
      <c r="Q190">
        <f t="shared" si="32"/>
        <v>64063280</v>
      </c>
      <c r="R190">
        <f t="shared" si="33"/>
        <v>47190961800000.008</v>
      </c>
      <c r="S190" s="1">
        <f t="shared" si="34"/>
        <v>1.9890000000000001E+33</v>
      </c>
      <c r="T190" s="1">
        <f t="shared" si="35"/>
        <v>1.9444464E+33</v>
      </c>
      <c r="U190" s="8">
        <f t="shared" si="27"/>
        <v>5.2951455380688528E-15</v>
      </c>
      <c r="V190" s="11">
        <f t="shared" si="28"/>
        <v>2.2285160751750785E+48</v>
      </c>
      <c r="W190" s="1">
        <f t="shared" si="29"/>
        <v>8.1312266024977867E+47</v>
      </c>
      <c r="X190">
        <f t="shared" si="36"/>
        <v>48.348015771172768</v>
      </c>
      <c r="Y190">
        <f t="shared" si="37"/>
        <v>47.910156064230556</v>
      </c>
      <c r="AA190" s="10">
        <f t="shared" si="38"/>
        <v>37.600879208003043</v>
      </c>
    </row>
    <row r="191" spans="1:27" x14ac:dyDescent="0.25">
      <c r="A191" s="2">
        <v>1</v>
      </c>
      <c r="B191" s="2">
        <v>7.5842150000000004</v>
      </c>
      <c r="C191" s="6">
        <v>3.74795530690673</v>
      </c>
      <c r="D191" s="2">
        <v>-0.13400000000000001</v>
      </c>
      <c r="E191" s="2">
        <v>4517</v>
      </c>
      <c r="F191" s="2">
        <v>9.1200000000000005E-4</v>
      </c>
      <c r="G191" s="2">
        <v>-0.51290000000000002</v>
      </c>
      <c r="H191" s="2">
        <v>7.1349999999999998</v>
      </c>
      <c r="I191" s="2">
        <v>18974</v>
      </c>
      <c r="J191" s="2">
        <v>0.97619999999999996</v>
      </c>
      <c r="K191" s="2">
        <v>668</v>
      </c>
      <c r="L191" s="2">
        <v>0.1022</v>
      </c>
      <c r="M191" s="2">
        <v>0.27410000000000001</v>
      </c>
      <c r="N191">
        <f t="shared" si="30"/>
        <v>9.1200000000000001E-7</v>
      </c>
      <c r="O191" s="7">
        <f t="shared" si="26"/>
        <v>38389724.901503429</v>
      </c>
      <c r="P191" s="7">
        <f t="shared" si="31"/>
        <v>1211487582551684.5</v>
      </c>
      <c r="Q191">
        <f t="shared" si="32"/>
        <v>63506208.000000007</v>
      </c>
      <c r="R191">
        <f t="shared" si="33"/>
        <v>46515512000000</v>
      </c>
      <c r="S191" s="1">
        <f t="shared" si="34"/>
        <v>1.9890000000000001E+33</v>
      </c>
      <c r="T191" s="1">
        <f t="shared" si="35"/>
        <v>1.9416618E+33</v>
      </c>
      <c r="U191" s="8">
        <f t="shared" si="27"/>
        <v>5.1863390080694719E-15</v>
      </c>
      <c r="V191" s="11">
        <f t="shared" si="28"/>
        <v>2.1987516665341441E+48</v>
      </c>
      <c r="W191" s="1">
        <f t="shared" si="29"/>
        <v>8.1981911827723266E+47</v>
      </c>
      <c r="X191">
        <f t="shared" si="36"/>
        <v>48.342176181637235</v>
      </c>
      <c r="Y191">
        <f t="shared" si="37"/>
        <v>47.913718041896431</v>
      </c>
      <c r="AA191" s="10">
        <f t="shared" si="38"/>
        <v>38.389724901503428</v>
      </c>
    </row>
    <row r="192" spans="1:27" x14ac:dyDescent="0.25">
      <c r="A192" s="2">
        <v>1</v>
      </c>
      <c r="B192" s="2">
        <v>7.594792</v>
      </c>
      <c r="C192" s="6">
        <v>3.7469454096151047</v>
      </c>
      <c r="D192" s="2">
        <v>-0.14499999999999999</v>
      </c>
      <c r="E192" s="2">
        <v>4524</v>
      </c>
      <c r="F192" s="2">
        <v>9.0499999999999999E-4</v>
      </c>
      <c r="G192" s="2">
        <v>-0.51290000000000002</v>
      </c>
      <c r="H192" s="2">
        <v>7.1349999999999998</v>
      </c>
      <c r="I192" s="2">
        <v>18953</v>
      </c>
      <c r="J192" s="2">
        <v>0.97619999999999996</v>
      </c>
      <c r="K192" s="2">
        <v>665</v>
      </c>
      <c r="L192" s="2">
        <v>0.1024</v>
      </c>
      <c r="M192" s="2">
        <v>0.27600000000000002</v>
      </c>
      <c r="N192">
        <f t="shared" si="30"/>
        <v>9.0500000000000002E-7</v>
      </c>
      <c r="O192" s="7">
        <f t="shared" si="26"/>
        <v>39336163.46173767</v>
      </c>
      <c r="P192" s="7">
        <f t="shared" si="31"/>
        <v>1241354912060132.8</v>
      </c>
      <c r="Q192">
        <f t="shared" si="32"/>
        <v>63018770</v>
      </c>
      <c r="R192">
        <f t="shared" si="33"/>
        <v>46306610000000</v>
      </c>
      <c r="S192" s="1">
        <f t="shared" si="34"/>
        <v>1.9890000000000001E+33</v>
      </c>
      <c r="T192" s="1">
        <f t="shared" si="35"/>
        <v>1.9416618E+33</v>
      </c>
      <c r="U192" s="8">
        <f t="shared" si="27"/>
        <v>5.0615543114515999E-15</v>
      </c>
      <c r="V192" s="11">
        <f t="shared" si="28"/>
        <v>2.180136620246379E+48</v>
      </c>
      <c r="W192" s="1">
        <f t="shared" si="29"/>
        <v>8.0886228229430886E+47</v>
      </c>
      <c r="X192">
        <f t="shared" si="36"/>
        <v>48.338483709916524</v>
      </c>
      <c r="Y192">
        <f t="shared" si="37"/>
        <v>47.907874584491118</v>
      </c>
      <c r="AA192" s="10">
        <f t="shared" si="38"/>
        <v>39.336163461737669</v>
      </c>
    </row>
    <row r="193" spans="1:27" x14ac:dyDescent="0.25">
      <c r="A193" s="2">
        <v>1</v>
      </c>
      <c r="B193" s="2">
        <v>7.6071549999999997</v>
      </c>
      <c r="C193" s="6">
        <v>3.7458551951737289</v>
      </c>
      <c r="D193" s="2">
        <v>-0.154</v>
      </c>
      <c r="E193" s="2">
        <v>4529</v>
      </c>
      <c r="F193" s="2">
        <v>8.9999999999999998E-4</v>
      </c>
      <c r="G193" s="2">
        <v>-0.51290000000000002</v>
      </c>
      <c r="H193" s="2">
        <v>7.1349999999999998</v>
      </c>
      <c r="I193" s="2">
        <v>18933</v>
      </c>
      <c r="J193" s="2">
        <v>0.97619999999999996</v>
      </c>
      <c r="K193" s="2">
        <v>663</v>
      </c>
      <c r="L193" s="2">
        <v>0.1026</v>
      </c>
      <c r="M193" s="2">
        <v>0.2777</v>
      </c>
      <c r="N193">
        <f t="shared" si="30"/>
        <v>8.9999999999999996E-7</v>
      </c>
      <c r="O193" s="7">
        <f t="shared" si="26"/>
        <v>40472031.088223025</v>
      </c>
      <c r="P193" s="7">
        <f t="shared" si="31"/>
        <v>1277200168269707</v>
      </c>
      <c r="Q193">
        <f t="shared" si="32"/>
        <v>62670600</v>
      </c>
      <c r="R193">
        <f t="shared" si="33"/>
        <v>46167342000000</v>
      </c>
      <c r="S193" s="1">
        <f t="shared" si="34"/>
        <v>1.9890000000000001E+33</v>
      </c>
      <c r="T193" s="1">
        <f t="shared" si="35"/>
        <v>1.9416618E+33</v>
      </c>
      <c r="U193" s="8">
        <f t="shared" si="27"/>
        <v>4.9194992791864112E-15</v>
      </c>
      <c r="V193" s="11">
        <f t="shared" si="28"/>
        <v>2.1693936673039555E+48</v>
      </c>
      <c r="W193" s="1">
        <f t="shared" si="29"/>
        <v>8.0151166822249121E+47</v>
      </c>
      <c r="X193">
        <f t="shared" si="36"/>
        <v>48.336338368069811</v>
      </c>
      <c r="Y193">
        <f t="shared" si="37"/>
        <v>47.903909849095349</v>
      </c>
      <c r="AA193" s="10">
        <f t="shared" si="38"/>
        <v>40.472031088223027</v>
      </c>
    </row>
    <row r="194" spans="1:27" x14ac:dyDescent="0.25">
      <c r="A194" s="2">
        <v>1</v>
      </c>
      <c r="B194" s="2">
        <v>7.6215400000000004</v>
      </c>
      <c r="C194" s="6">
        <v>3.7449966740385601</v>
      </c>
      <c r="D194" s="2">
        <v>-0.16200000000000001</v>
      </c>
      <c r="E194" s="2">
        <v>4533</v>
      </c>
      <c r="F194" s="2">
        <v>8.9599999999999999E-4</v>
      </c>
      <c r="G194" s="2">
        <v>-0.51290000000000002</v>
      </c>
      <c r="H194" s="2">
        <v>7.1340000000000003</v>
      </c>
      <c r="I194" s="2">
        <v>18914</v>
      </c>
      <c r="J194" s="2">
        <v>0.97489999999999999</v>
      </c>
      <c r="K194" s="2">
        <v>656.4</v>
      </c>
      <c r="L194" s="2">
        <v>0.1051</v>
      </c>
      <c r="M194" s="2">
        <v>0.2782</v>
      </c>
      <c r="N194">
        <f t="shared" si="30"/>
        <v>8.9599999999999998E-7</v>
      </c>
      <c r="O194" s="7">
        <f t="shared" ref="O194:O257" si="39">10^B194</f>
        <v>41835021.835616775</v>
      </c>
      <c r="P194" s="7">
        <f t="shared" si="31"/>
        <v>1320212885079660</v>
      </c>
      <c r="Q194">
        <f t="shared" si="32"/>
        <v>62392064</v>
      </c>
      <c r="R194">
        <f t="shared" si="33"/>
        <v>45707757599999.992</v>
      </c>
      <c r="S194" s="1">
        <f t="shared" si="34"/>
        <v>1.9890000000000001E+33</v>
      </c>
      <c r="T194" s="1">
        <f t="shared" si="35"/>
        <v>1.9390760999999998E+33</v>
      </c>
      <c r="U194" s="8">
        <f t="shared" ref="U194:U257" si="40">(2*PI())/P194</f>
        <v>4.7592213181592047E-15</v>
      </c>
      <c r="V194" s="11">
        <f t="shared" ref="V194:V257" si="41">M194*S194*(Q194^2)</f>
        <v>2.1540243796767243E+48</v>
      </c>
      <c r="W194" s="1">
        <f t="shared" ref="W194:W257" si="42">L194*S194*(Q194^2)</f>
        <v>8.1375974947528302E+47</v>
      </c>
      <c r="X194">
        <f t="shared" si="36"/>
        <v>48.333250614421182</v>
      </c>
      <c r="Y194">
        <f t="shared" si="37"/>
        <v>47.910496204793397</v>
      </c>
      <c r="AA194" s="10">
        <f t="shared" si="38"/>
        <v>41.835021835616772</v>
      </c>
    </row>
    <row r="195" spans="1:27" x14ac:dyDescent="0.25">
      <c r="A195" s="2">
        <v>1</v>
      </c>
      <c r="B195" s="2">
        <v>7.6381959999999998</v>
      </c>
      <c r="C195" s="6">
        <v>3.7442929831226763</v>
      </c>
      <c r="D195" s="2">
        <v>-0.16700000000000001</v>
      </c>
      <c r="E195" s="2">
        <v>4535</v>
      </c>
      <c r="F195" s="2">
        <v>8.9400000000000005E-4</v>
      </c>
      <c r="G195" s="2">
        <v>-0.51290000000000002</v>
      </c>
      <c r="H195" s="2">
        <v>7.133</v>
      </c>
      <c r="I195" s="2">
        <v>18898</v>
      </c>
      <c r="J195" s="2">
        <v>0.97489999999999999</v>
      </c>
      <c r="K195" s="2">
        <v>656.3</v>
      </c>
      <c r="L195" s="2">
        <v>0.10529999999999999</v>
      </c>
      <c r="M195" s="2">
        <v>0.27910000000000001</v>
      </c>
      <c r="N195">
        <f t="shared" ref="N195:N258" si="43">F195/(10^3)</f>
        <v>8.9400000000000004E-7</v>
      </c>
      <c r="O195" s="7">
        <f t="shared" si="39"/>
        <v>43470636.57941822</v>
      </c>
      <c r="P195" s="7">
        <f t="shared" ref="P195:P258" si="44">O195*31557600</f>
        <v>1371828960918648.5</v>
      </c>
      <c r="Q195">
        <f t="shared" ref="Q195:Q258" si="45">F195*6.9634*(10^10)</f>
        <v>62252796.000000007</v>
      </c>
      <c r="R195">
        <f t="shared" ref="R195:R258" si="46">K195*6.9634*(10^10)</f>
        <v>45700794200000</v>
      </c>
      <c r="S195" s="1">
        <f t="shared" ref="S195:S258" si="47">A195*1.989*(10^33)</f>
        <v>1.9890000000000001E+33</v>
      </c>
      <c r="T195" s="1">
        <f t="shared" ref="T195:T258" si="48">J195*1.989*(10^33)</f>
        <v>1.9390760999999998E+33</v>
      </c>
      <c r="U195" s="8">
        <f t="shared" si="40"/>
        <v>4.5801521080091767E-15</v>
      </c>
      <c r="V195" s="11">
        <f t="shared" si="41"/>
        <v>2.1513563042869929E+48</v>
      </c>
      <c r="W195" s="1">
        <f t="shared" si="42"/>
        <v>8.1167258631823839E+47</v>
      </c>
      <c r="X195">
        <f t="shared" ref="X195:X258" si="49">LOG(V195)</f>
        <v>48.332712343521365</v>
      </c>
      <c r="Y195">
        <f t="shared" ref="Y195:Y258" si="50">LOG(W195)</f>
        <v>47.909380878218222</v>
      </c>
      <c r="AA195" s="10">
        <f t="shared" ref="AA195:AA258" si="51">O195/(1*1000000)</f>
        <v>43.470636579418219</v>
      </c>
    </row>
    <row r="196" spans="1:27" x14ac:dyDescent="0.25">
      <c r="A196" s="2">
        <v>1</v>
      </c>
      <c r="B196" s="2">
        <v>7.6573739999999999</v>
      </c>
      <c r="C196" s="6">
        <v>3.7437448785924614</v>
      </c>
      <c r="D196" s="2">
        <v>-0.16900000000000001</v>
      </c>
      <c r="E196" s="2">
        <v>4535</v>
      </c>
      <c r="F196" s="2">
        <v>8.9400000000000005E-4</v>
      </c>
      <c r="G196" s="2">
        <v>-0.51290000000000002</v>
      </c>
      <c r="H196" s="2">
        <v>7.1319999999999997</v>
      </c>
      <c r="I196" s="2">
        <v>18884</v>
      </c>
      <c r="J196" s="2">
        <v>0.97489999999999999</v>
      </c>
      <c r="K196" s="2">
        <v>656.9</v>
      </c>
      <c r="L196" s="2">
        <v>0.10540000000000001</v>
      </c>
      <c r="M196" s="2">
        <v>0.2797</v>
      </c>
      <c r="N196">
        <f t="shared" si="43"/>
        <v>8.9400000000000004E-7</v>
      </c>
      <c r="O196" s="7">
        <f t="shared" si="39"/>
        <v>45433270.448261306</v>
      </c>
      <c r="P196" s="7">
        <f t="shared" si="44"/>
        <v>1433764975498051</v>
      </c>
      <c r="Q196">
        <f t="shared" si="45"/>
        <v>62252796.000000007</v>
      </c>
      <c r="R196">
        <f t="shared" si="46"/>
        <v>45742574600000</v>
      </c>
      <c r="S196" s="1">
        <f t="shared" si="47"/>
        <v>1.9890000000000001E+33</v>
      </c>
      <c r="T196" s="1">
        <f t="shared" si="48"/>
        <v>1.9390760999999998E+33</v>
      </c>
      <c r="U196" s="8">
        <f t="shared" si="40"/>
        <v>4.3822979460053959E-15</v>
      </c>
      <c r="V196" s="11">
        <f t="shared" si="41"/>
        <v>2.1559812193087492E+48</v>
      </c>
      <c r="W196" s="1">
        <f t="shared" si="42"/>
        <v>8.1244340548853122E+47</v>
      </c>
      <c r="X196">
        <f t="shared" si="49"/>
        <v>48.333644973404262</v>
      </c>
      <c r="Y196">
        <f t="shared" si="50"/>
        <v>47.909793117909267</v>
      </c>
      <c r="AA196" s="10">
        <f t="shared" si="51"/>
        <v>45.433270448261304</v>
      </c>
    </row>
    <row r="197" spans="1:27" x14ac:dyDescent="0.25">
      <c r="A197" s="2">
        <v>1</v>
      </c>
      <c r="B197" s="2">
        <v>7.6793230000000001</v>
      </c>
      <c r="C197" s="6">
        <v>3.7434313651466837</v>
      </c>
      <c r="D197" s="2">
        <v>-0.17</v>
      </c>
      <c r="E197" s="2">
        <v>4535</v>
      </c>
      <c r="F197" s="2">
        <v>8.9400000000000005E-4</v>
      </c>
      <c r="G197" s="2">
        <v>-0.51290000000000002</v>
      </c>
      <c r="H197" s="2">
        <v>7.1319999999999997</v>
      </c>
      <c r="I197" s="2">
        <v>18873</v>
      </c>
      <c r="J197" s="2">
        <v>0.97389999999999999</v>
      </c>
      <c r="K197" s="2">
        <v>654.29999999999995</v>
      </c>
      <c r="L197" s="2">
        <v>0.107</v>
      </c>
      <c r="M197" s="2">
        <v>0.27929999999999999</v>
      </c>
      <c r="N197">
        <f t="shared" si="43"/>
        <v>8.9400000000000004E-7</v>
      </c>
      <c r="O197" s="7">
        <f t="shared" si="39"/>
        <v>47788456.098832279</v>
      </c>
      <c r="P197" s="7">
        <f t="shared" si="44"/>
        <v>1508088982184509.5</v>
      </c>
      <c r="Q197">
        <f t="shared" si="45"/>
        <v>62252796.000000007</v>
      </c>
      <c r="R197">
        <f t="shared" si="46"/>
        <v>45561526200000</v>
      </c>
      <c r="S197" s="1">
        <f t="shared" si="47"/>
        <v>1.9890000000000001E+33</v>
      </c>
      <c r="T197" s="1">
        <f t="shared" si="48"/>
        <v>1.9370871E+33</v>
      </c>
      <c r="U197" s="8">
        <f t="shared" si="40"/>
        <v>4.1663226649121293E-15</v>
      </c>
      <c r="V197" s="11">
        <f t="shared" si="41"/>
        <v>2.1528979426275782E+48</v>
      </c>
      <c r="W197" s="1">
        <f t="shared" si="42"/>
        <v>8.2477651221321473E+47</v>
      </c>
      <c r="X197">
        <f t="shared" si="49"/>
        <v>48.33302344273374</v>
      </c>
      <c r="Y197">
        <f t="shared" si="50"/>
        <v>47.91633628471795</v>
      </c>
      <c r="AA197" s="10">
        <f t="shared" si="51"/>
        <v>47.788456098832278</v>
      </c>
    </row>
    <row r="198" spans="1:27" x14ac:dyDescent="0.25">
      <c r="A198" s="2">
        <v>1</v>
      </c>
      <c r="B198" s="2">
        <v>7.7042780000000004</v>
      </c>
      <c r="C198" s="6">
        <v>3.7431960814487013</v>
      </c>
      <c r="D198" s="2">
        <v>-0.16900000000000001</v>
      </c>
      <c r="E198" s="2">
        <v>4534</v>
      </c>
      <c r="F198" s="2">
        <v>8.9500000000000007E-4</v>
      </c>
      <c r="G198" s="2">
        <v>-0.51290000000000002</v>
      </c>
      <c r="H198" s="2">
        <v>7.1310000000000002</v>
      </c>
      <c r="I198" s="2">
        <v>18860</v>
      </c>
      <c r="J198" s="2">
        <v>0.97389999999999999</v>
      </c>
      <c r="K198" s="2">
        <v>655.4</v>
      </c>
      <c r="L198" s="2">
        <v>0.1071</v>
      </c>
      <c r="M198" s="2">
        <v>0.27950000000000003</v>
      </c>
      <c r="N198">
        <f t="shared" si="43"/>
        <v>8.9500000000000011E-7</v>
      </c>
      <c r="O198" s="7">
        <f t="shared" si="39"/>
        <v>50614855.345927641</v>
      </c>
      <c r="P198" s="7">
        <f t="shared" si="44"/>
        <v>1597283359064646</v>
      </c>
      <c r="Q198">
        <f t="shared" si="45"/>
        <v>62322430</v>
      </c>
      <c r="R198">
        <f t="shared" si="46"/>
        <v>45638123600000</v>
      </c>
      <c r="S198" s="1">
        <f t="shared" si="47"/>
        <v>1.9890000000000001E+33</v>
      </c>
      <c r="T198" s="1">
        <f t="shared" si="48"/>
        <v>1.9370871E+33</v>
      </c>
      <c r="U198" s="8">
        <f t="shared" si="40"/>
        <v>3.9336697972355765E-15</v>
      </c>
      <c r="V198" s="11">
        <f t="shared" si="41"/>
        <v>2.1592620519408824E+48</v>
      </c>
      <c r="W198" s="1">
        <f t="shared" si="42"/>
        <v>8.2739522634299985E+47</v>
      </c>
      <c r="X198">
        <f t="shared" si="49"/>
        <v>48.334305352295168</v>
      </c>
      <c r="Y198">
        <f t="shared" si="50"/>
        <v>47.917713010904585</v>
      </c>
      <c r="AA198" s="10">
        <f t="shared" si="51"/>
        <v>50.614855345927644</v>
      </c>
    </row>
    <row r="199" spans="1:27" x14ac:dyDescent="0.25">
      <c r="A199" s="2">
        <v>1</v>
      </c>
      <c r="B199" s="2">
        <v>7.7324440000000001</v>
      </c>
      <c r="C199" s="6">
        <v>3.7430391548049333</v>
      </c>
      <c r="D199" s="2">
        <v>-0.16900000000000001</v>
      </c>
      <c r="E199" s="2">
        <v>4533</v>
      </c>
      <c r="F199" s="2">
        <v>8.9599999999999999E-4</v>
      </c>
      <c r="G199" s="2">
        <v>-0.51290000000000002</v>
      </c>
      <c r="H199" s="2">
        <v>7.13</v>
      </c>
      <c r="I199" s="2">
        <v>18848</v>
      </c>
      <c r="J199" s="2">
        <v>0.97389999999999999</v>
      </c>
      <c r="K199" s="2">
        <v>656.6</v>
      </c>
      <c r="L199" s="2">
        <v>0.1071</v>
      </c>
      <c r="M199" s="2">
        <v>0.27960000000000002</v>
      </c>
      <c r="N199">
        <f t="shared" si="43"/>
        <v>8.9599999999999998E-7</v>
      </c>
      <c r="O199" s="7">
        <f t="shared" si="39"/>
        <v>54006247.204604581</v>
      </c>
      <c r="P199" s="7">
        <f t="shared" si="44"/>
        <v>1704307546784029.5</v>
      </c>
      <c r="Q199">
        <f t="shared" si="45"/>
        <v>62392064</v>
      </c>
      <c r="R199">
        <f t="shared" si="46"/>
        <v>45721684400000</v>
      </c>
      <c r="S199" s="1">
        <f t="shared" si="47"/>
        <v>1.9890000000000001E+33</v>
      </c>
      <c r="T199" s="1">
        <f t="shared" si="48"/>
        <v>1.9370871E+33</v>
      </c>
      <c r="U199" s="8">
        <f t="shared" si="40"/>
        <v>3.6866499353568807E-15</v>
      </c>
      <c r="V199" s="11">
        <f t="shared" si="41"/>
        <v>2.1648641860446162E+48</v>
      </c>
      <c r="W199" s="1">
        <f t="shared" si="42"/>
        <v>8.2924518714369948E+47</v>
      </c>
      <c r="X199">
        <f t="shared" si="49"/>
        <v>48.335430655838799</v>
      </c>
      <c r="Y199">
        <f t="shared" si="50"/>
        <v>47.918682959597007</v>
      </c>
      <c r="AA199" s="10">
        <f t="shared" si="51"/>
        <v>54.006247204604584</v>
      </c>
    </row>
    <row r="200" spans="1:27" x14ac:dyDescent="0.25">
      <c r="A200" s="2">
        <v>1</v>
      </c>
      <c r="B200" s="2">
        <v>7.7639969999999998</v>
      </c>
      <c r="C200" s="6">
        <v>3.7428821714372731</v>
      </c>
      <c r="D200" s="2">
        <v>-0.16900000000000001</v>
      </c>
      <c r="E200" s="2">
        <v>4532</v>
      </c>
      <c r="F200" s="2">
        <v>8.9700000000000001E-4</v>
      </c>
      <c r="G200" s="2">
        <v>-0.51290000000000002</v>
      </c>
      <c r="H200" s="2">
        <v>7.13</v>
      </c>
      <c r="I200" s="2">
        <v>18838</v>
      </c>
      <c r="J200" s="2">
        <v>0.97389999999999999</v>
      </c>
      <c r="K200" s="2">
        <v>657.7</v>
      </c>
      <c r="L200" s="2">
        <v>0.1071</v>
      </c>
      <c r="M200" s="2">
        <v>0.2797</v>
      </c>
      <c r="N200">
        <f t="shared" si="43"/>
        <v>8.9700000000000005E-7</v>
      </c>
      <c r="O200" s="7">
        <f t="shared" si="39"/>
        <v>58076040.575669765</v>
      </c>
      <c r="P200" s="7">
        <f t="shared" si="44"/>
        <v>1832740458070756.3</v>
      </c>
      <c r="Q200">
        <f t="shared" si="45"/>
        <v>62461698.000000007</v>
      </c>
      <c r="R200">
        <f t="shared" si="46"/>
        <v>45798281800000.008</v>
      </c>
      <c r="S200" s="1">
        <f t="shared" si="47"/>
        <v>1.9890000000000001E+33</v>
      </c>
      <c r="T200" s="1">
        <f t="shared" si="48"/>
        <v>1.9370871E+33</v>
      </c>
      <c r="U200" s="8">
        <f t="shared" si="40"/>
        <v>3.4283006519066066E-15</v>
      </c>
      <c r="V200" s="11">
        <f t="shared" si="41"/>
        <v>2.1704751698957422E+48</v>
      </c>
      <c r="W200" s="1">
        <f t="shared" si="42"/>
        <v>8.3109721378560596E+47</v>
      </c>
      <c r="X200">
        <f t="shared" si="49"/>
        <v>48.336554821900613</v>
      </c>
      <c r="Y200">
        <f t="shared" si="50"/>
        <v>47.919651826360941</v>
      </c>
      <c r="AA200" s="10">
        <f t="shared" si="51"/>
        <v>58.076040575669765</v>
      </c>
    </row>
    <row r="201" spans="1:27" x14ac:dyDescent="0.25">
      <c r="A201" s="2">
        <v>1</v>
      </c>
      <c r="B201" s="2">
        <v>7.7990640000000004</v>
      </c>
      <c r="C201" s="6">
        <v>3.7428821714372731</v>
      </c>
      <c r="D201" s="2">
        <v>-0.16800000000000001</v>
      </c>
      <c r="E201" s="2">
        <v>4530</v>
      </c>
      <c r="F201" s="2">
        <v>8.9900000000000006E-4</v>
      </c>
      <c r="G201" s="2">
        <v>-0.51290000000000002</v>
      </c>
      <c r="H201" s="2">
        <v>7.1289999999999996</v>
      </c>
      <c r="I201" s="2">
        <v>18847</v>
      </c>
      <c r="J201" s="2">
        <v>0.97389999999999999</v>
      </c>
      <c r="K201" s="2">
        <v>658.5</v>
      </c>
      <c r="L201" s="2">
        <v>0.1071</v>
      </c>
      <c r="M201" s="2">
        <v>0.27950000000000003</v>
      </c>
      <c r="N201">
        <f t="shared" si="43"/>
        <v>8.990000000000001E-7</v>
      </c>
      <c r="O201" s="7">
        <f t="shared" si="39"/>
        <v>62959895.715225987</v>
      </c>
      <c r="P201" s="7">
        <f t="shared" si="44"/>
        <v>1986863205022815.5</v>
      </c>
      <c r="Q201">
        <f t="shared" si="45"/>
        <v>62600966.000000007</v>
      </c>
      <c r="R201">
        <f t="shared" si="46"/>
        <v>45853989000000</v>
      </c>
      <c r="S201" s="1">
        <f t="shared" si="47"/>
        <v>1.9890000000000001E+33</v>
      </c>
      <c r="T201" s="1">
        <f t="shared" si="48"/>
        <v>1.9370871E+33</v>
      </c>
      <c r="U201" s="8">
        <f t="shared" si="40"/>
        <v>3.1623643194436405E-15</v>
      </c>
      <c r="V201" s="11">
        <f t="shared" si="41"/>
        <v>2.1786058483076978E+48</v>
      </c>
      <c r="W201" s="1">
        <f t="shared" si="42"/>
        <v>8.3480746459303899E+47</v>
      </c>
      <c r="X201">
        <f t="shared" si="49"/>
        <v>48.338178665129803</v>
      </c>
      <c r="Y201">
        <f t="shared" si="50"/>
        <v>47.921586323739213</v>
      </c>
      <c r="AA201" s="10">
        <f t="shared" si="51"/>
        <v>62.95989571522599</v>
      </c>
    </row>
    <row r="202" spans="1:27" x14ac:dyDescent="0.25">
      <c r="A202" s="2">
        <v>1</v>
      </c>
      <c r="B202" s="2">
        <v>7.8377179999999997</v>
      </c>
      <c r="C202" s="6">
        <v>3.7428821714372731</v>
      </c>
      <c r="D202" s="2">
        <v>-0.16700000000000001</v>
      </c>
      <c r="E202" s="2">
        <v>4530</v>
      </c>
      <c r="F202" s="2">
        <v>8.9999999999999998E-4</v>
      </c>
      <c r="G202" s="2">
        <v>-0.51290000000000002</v>
      </c>
      <c r="H202" s="2">
        <v>7.1289999999999996</v>
      </c>
      <c r="I202" s="2">
        <v>18850</v>
      </c>
      <c r="J202" s="2">
        <v>0.97389999999999999</v>
      </c>
      <c r="K202" s="2">
        <v>659.2</v>
      </c>
      <c r="L202" s="2">
        <v>0.1071</v>
      </c>
      <c r="M202" s="2">
        <v>0.27939999999999998</v>
      </c>
      <c r="N202">
        <f t="shared" si="43"/>
        <v>8.9999999999999996E-7</v>
      </c>
      <c r="O202" s="7">
        <f t="shared" si="39"/>
        <v>68820527.958612174</v>
      </c>
      <c r="P202" s="7">
        <f t="shared" si="44"/>
        <v>2171810693106699.5</v>
      </c>
      <c r="Q202">
        <f t="shared" si="45"/>
        <v>62670600</v>
      </c>
      <c r="R202">
        <f t="shared" si="46"/>
        <v>45902732800000</v>
      </c>
      <c r="S202" s="1">
        <f t="shared" si="47"/>
        <v>1.9890000000000001E+33</v>
      </c>
      <c r="T202" s="1">
        <f t="shared" si="48"/>
        <v>1.9370871E+33</v>
      </c>
      <c r="U202" s="8">
        <f t="shared" si="40"/>
        <v>2.8930630681220696E-15</v>
      </c>
      <c r="V202" s="11">
        <f t="shared" si="41"/>
        <v>2.1826740750620277E+48</v>
      </c>
      <c r="W202" s="1">
        <f t="shared" si="42"/>
        <v>8.3666568875856553E+47</v>
      </c>
      <c r="X202">
        <f t="shared" si="49"/>
        <v>48.338988890097717</v>
      </c>
      <c r="Y202">
        <f t="shared" si="50"/>
        <v>47.922551959151406</v>
      </c>
      <c r="AA202" s="10">
        <f t="shared" si="51"/>
        <v>68.820527958612175</v>
      </c>
    </row>
    <row r="203" spans="1:27" x14ac:dyDescent="0.25">
      <c r="A203" s="2">
        <v>1</v>
      </c>
      <c r="B203" s="2">
        <v>7.8799739999999998</v>
      </c>
      <c r="C203" s="6">
        <v>3.7428821714372731</v>
      </c>
      <c r="D203" s="2">
        <v>-0.16600000000000001</v>
      </c>
      <c r="E203" s="2">
        <v>4529</v>
      </c>
      <c r="F203" s="2">
        <v>8.9999999999999998E-4</v>
      </c>
      <c r="G203" s="2">
        <v>-0.51290000000000002</v>
      </c>
      <c r="H203" s="2">
        <v>7.1280000000000001</v>
      </c>
      <c r="I203" s="2">
        <v>18853</v>
      </c>
      <c r="J203" s="2">
        <v>0.97389999999999999</v>
      </c>
      <c r="K203" s="2">
        <v>659.8</v>
      </c>
      <c r="L203" s="2">
        <v>0.1071</v>
      </c>
      <c r="M203" s="2">
        <v>0.27929999999999999</v>
      </c>
      <c r="N203">
        <f t="shared" si="43"/>
        <v>8.9999999999999996E-7</v>
      </c>
      <c r="O203" s="7">
        <f t="shared" si="39"/>
        <v>75853216.246374175</v>
      </c>
      <c r="P203" s="7">
        <f t="shared" si="44"/>
        <v>2393745457016577.5</v>
      </c>
      <c r="Q203">
        <f t="shared" si="45"/>
        <v>62670600</v>
      </c>
      <c r="R203">
        <f t="shared" si="46"/>
        <v>45944513200000</v>
      </c>
      <c r="S203" s="1">
        <f t="shared" si="47"/>
        <v>1.9890000000000001E+33</v>
      </c>
      <c r="T203" s="1">
        <f t="shared" si="48"/>
        <v>1.9370871E+33</v>
      </c>
      <c r="U203" s="8">
        <f t="shared" si="40"/>
        <v>2.6248343526928616E-15</v>
      </c>
      <c r="V203" s="11">
        <f t="shared" si="41"/>
        <v>2.1818928746056707E+48</v>
      </c>
      <c r="W203" s="1">
        <f t="shared" si="42"/>
        <v>8.3666568875856553E+47</v>
      </c>
      <c r="X203">
        <f t="shared" si="49"/>
        <v>48.338833424020557</v>
      </c>
      <c r="Y203">
        <f t="shared" si="50"/>
        <v>47.922551959151406</v>
      </c>
      <c r="AA203" s="10">
        <f t="shared" si="51"/>
        <v>75.853216246374174</v>
      </c>
    </row>
    <row r="204" spans="1:27" x14ac:dyDescent="0.25">
      <c r="A204" s="2">
        <v>1</v>
      </c>
      <c r="B204" s="2">
        <v>7.9257879999999998</v>
      </c>
      <c r="C204" s="6">
        <v>3.7429606702141522</v>
      </c>
      <c r="D204" s="2">
        <v>-0.16500000000000001</v>
      </c>
      <c r="E204" s="2">
        <v>4528</v>
      </c>
      <c r="F204" s="2">
        <v>9.01E-4</v>
      </c>
      <c r="G204" s="2">
        <v>-0.51290000000000002</v>
      </c>
      <c r="H204" s="2">
        <v>7.1280000000000001</v>
      </c>
      <c r="I204" s="2">
        <v>18862</v>
      </c>
      <c r="J204" s="2">
        <v>0.97389999999999999</v>
      </c>
      <c r="K204" s="2">
        <v>660.3</v>
      </c>
      <c r="L204" s="2">
        <v>0.1071</v>
      </c>
      <c r="M204" s="2">
        <v>0.2792</v>
      </c>
      <c r="N204">
        <f t="shared" si="43"/>
        <v>9.0100000000000003E-7</v>
      </c>
      <c r="O204" s="7">
        <f t="shared" si="39"/>
        <v>84292318.60175927</v>
      </c>
      <c r="P204" s="7">
        <f t="shared" si="44"/>
        <v>2660063273506878.5</v>
      </c>
      <c r="Q204">
        <f t="shared" si="45"/>
        <v>62740234</v>
      </c>
      <c r="R204">
        <f t="shared" si="46"/>
        <v>45979330199999.992</v>
      </c>
      <c r="S204" s="1">
        <f t="shared" si="47"/>
        <v>1.9890000000000001E+33</v>
      </c>
      <c r="T204" s="1">
        <f t="shared" si="48"/>
        <v>1.9370871E+33</v>
      </c>
      <c r="U204" s="8">
        <f t="shared" si="40"/>
        <v>2.362043553534043E-15</v>
      </c>
      <c r="V204" s="11">
        <f t="shared" si="41"/>
        <v>2.1859612817112183E+48</v>
      </c>
      <c r="W204" s="1">
        <f t="shared" si="42"/>
        <v>8.385259787652991E+47</v>
      </c>
      <c r="X204">
        <f t="shared" si="49"/>
        <v>48.339642465350153</v>
      </c>
      <c r="Y204">
        <f t="shared" si="50"/>
        <v>47.923516522230884</v>
      </c>
      <c r="AA204" s="10">
        <f t="shared" si="51"/>
        <v>84.292318601759277</v>
      </c>
    </row>
    <row r="205" spans="1:27" x14ac:dyDescent="0.25">
      <c r="A205" s="2">
        <v>1</v>
      </c>
      <c r="B205" s="2">
        <v>7.9750620000000003</v>
      </c>
      <c r="C205" s="6">
        <v>3.7431960814487013</v>
      </c>
      <c r="D205" s="2">
        <v>-0.16300000000000001</v>
      </c>
      <c r="E205" s="2">
        <v>4527</v>
      </c>
      <c r="F205" s="2">
        <v>9.0200000000000002E-4</v>
      </c>
      <c r="G205" s="2">
        <v>-0.51290000000000002</v>
      </c>
      <c r="H205" s="2">
        <v>7.1280000000000001</v>
      </c>
      <c r="I205" s="2">
        <v>18893</v>
      </c>
      <c r="J205" s="2">
        <v>0.97389999999999999</v>
      </c>
      <c r="K205" s="2">
        <v>660.4</v>
      </c>
      <c r="L205" s="2">
        <v>0.1071</v>
      </c>
      <c r="M205" s="2">
        <v>0.2787</v>
      </c>
      <c r="N205">
        <f t="shared" si="43"/>
        <v>9.02E-7</v>
      </c>
      <c r="O205" s="7">
        <f t="shared" si="39"/>
        <v>94419566.02976346</v>
      </c>
      <c r="P205" s="7">
        <f t="shared" si="44"/>
        <v>2979654896940863.5</v>
      </c>
      <c r="Q205">
        <f t="shared" si="45"/>
        <v>62809868</v>
      </c>
      <c r="R205">
        <f t="shared" si="46"/>
        <v>45986293600000</v>
      </c>
      <c r="S205" s="1">
        <f t="shared" si="47"/>
        <v>1.9890000000000001E+33</v>
      </c>
      <c r="T205" s="1">
        <f t="shared" si="48"/>
        <v>1.9370871E+33</v>
      </c>
      <c r="U205" s="8">
        <f t="shared" si="40"/>
        <v>2.108695645804611E-15</v>
      </c>
      <c r="V205" s="11">
        <f t="shared" si="41"/>
        <v>2.1868928931532198E+48</v>
      </c>
      <c r="W205" s="1">
        <f t="shared" si="42"/>
        <v>8.4038833461323935E+47</v>
      </c>
      <c r="X205">
        <f t="shared" si="49"/>
        <v>48.339827513238092</v>
      </c>
      <c r="Y205">
        <f t="shared" si="50"/>
        <v>47.924480015356643</v>
      </c>
      <c r="AA205" s="10">
        <f t="shared" si="51"/>
        <v>94.419566029763459</v>
      </c>
    </row>
    <row r="206" spans="1:27" x14ac:dyDescent="0.25">
      <c r="A206" s="2">
        <v>1</v>
      </c>
      <c r="B206" s="2">
        <v>8.0276429999999994</v>
      </c>
      <c r="C206" s="6">
        <v>3.743588150159904</v>
      </c>
      <c r="D206" s="2">
        <v>-0.161</v>
      </c>
      <c r="E206" s="2">
        <v>4526</v>
      </c>
      <c r="F206" s="2">
        <v>9.0300000000000005E-4</v>
      </c>
      <c r="G206" s="2">
        <v>-0.51290000000000002</v>
      </c>
      <c r="H206" s="2">
        <v>7.1280000000000001</v>
      </c>
      <c r="I206" s="2">
        <v>18924</v>
      </c>
      <c r="J206" s="2">
        <v>0.97389999999999999</v>
      </c>
      <c r="K206" s="2">
        <v>660.4</v>
      </c>
      <c r="L206" s="2">
        <v>0.107</v>
      </c>
      <c r="M206" s="2">
        <v>0.2782</v>
      </c>
      <c r="N206">
        <f t="shared" si="43"/>
        <v>9.0300000000000008E-7</v>
      </c>
      <c r="O206" s="7">
        <f t="shared" si="39"/>
        <v>106571971.5079111</v>
      </c>
      <c r="P206" s="7">
        <f t="shared" si="44"/>
        <v>3363155648058055.5</v>
      </c>
      <c r="Q206">
        <f t="shared" si="45"/>
        <v>62879502.000000007</v>
      </c>
      <c r="R206">
        <f t="shared" si="46"/>
        <v>45986293600000</v>
      </c>
      <c r="S206" s="1">
        <f t="shared" si="47"/>
        <v>1.9890000000000001E+33</v>
      </c>
      <c r="T206" s="1">
        <f t="shared" si="48"/>
        <v>1.9370871E+33</v>
      </c>
      <c r="U206" s="8">
        <f t="shared" si="40"/>
        <v>1.8682410107327642E-15</v>
      </c>
      <c r="V206" s="11">
        <f t="shared" si="41"/>
        <v>2.1878124818237534E+48</v>
      </c>
      <c r="W206" s="1">
        <f t="shared" si="42"/>
        <v>8.4146633916298213E+47</v>
      </c>
      <c r="X206">
        <f t="shared" si="49"/>
        <v>48.34001009572394</v>
      </c>
      <c r="Y206">
        <f t="shared" si="50"/>
        <v>47.925036747753126</v>
      </c>
      <c r="AA206" s="10">
        <f t="shared" si="51"/>
        <v>106.5719715079111</v>
      </c>
    </row>
    <row r="207" spans="1:27" x14ac:dyDescent="0.25">
      <c r="A207" s="2">
        <v>1</v>
      </c>
      <c r="B207" s="2">
        <v>8.0833410000000008</v>
      </c>
      <c r="C207" s="6">
        <v>3.7440581658788354</v>
      </c>
      <c r="D207" s="2">
        <v>-0.158</v>
      </c>
      <c r="E207" s="2">
        <v>4525</v>
      </c>
      <c r="F207" s="2">
        <v>9.0400000000000007E-4</v>
      </c>
      <c r="G207" s="2">
        <v>-0.51290000000000002</v>
      </c>
      <c r="H207" s="2">
        <v>7.1289999999999996</v>
      </c>
      <c r="I207" s="2">
        <v>18974</v>
      </c>
      <c r="J207" s="2">
        <v>0.97389999999999999</v>
      </c>
      <c r="K207" s="2">
        <v>660.2</v>
      </c>
      <c r="L207" s="2">
        <v>0.10690000000000001</v>
      </c>
      <c r="M207" s="2">
        <v>0.27739999999999998</v>
      </c>
      <c r="N207">
        <f t="shared" si="43"/>
        <v>9.0400000000000005E-7</v>
      </c>
      <c r="O207" s="7">
        <f t="shared" si="39"/>
        <v>121154904.60997403</v>
      </c>
      <c r="P207" s="7">
        <f t="shared" si="44"/>
        <v>3823358017719716.5</v>
      </c>
      <c r="Q207">
        <f t="shared" si="45"/>
        <v>62949136</v>
      </c>
      <c r="R207">
        <f t="shared" si="46"/>
        <v>45972366800000</v>
      </c>
      <c r="S207" s="1">
        <f t="shared" si="47"/>
        <v>1.9890000000000001E+33</v>
      </c>
      <c r="T207" s="1">
        <f t="shared" si="48"/>
        <v>1.9370871E+33</v>
      </c>
      <c r="U207" s="8">
        <f t="shared" si="40"/>
        <v>1.6433682846491399E-15</v>
      </c>
      <c r="V207" s="11">
        <f t="shared" si="41"/>
        <v>2.1863555391148666E+48</v>
      </c>
      <c r="W207" s="1">
        <f t="shared" si="42"/>
        <v>8.4254292404967291E+47</v>
      </c>
      <c r="X207">
        <f t="shared" si="49"/>
        <v>48.339720787128897</v>
      </c>
      <c r="Y207">
        <f t="shared" si="50"/>
        <v>47.92559203560041</v>
      </c>
      <c r="AA207" s="10">
        <f t="shared" si="51"/>
        <v>121.15490460997403</v>
      </c>
    </row>
    <row r="208" spans="1:27" x14ac:dyDescent="0.25">
      <c r="A208" s="2">
        <v>1</v>
      </c>
      <c r="B208" s="2">
        <v>8.1419320000000006</v>
      </c>
      <c r="C208" s="6">
        <v>3.7446058754142388</v>
      </c>
      <c r="D208" s="2">
        <v>-0.155</v>
      </c>
      <c r="E208" s="2">
        <v>4524</v>
      </c>
      <c r="F208" s="2">
        <v>9.0499999999999999E-4</v>
      </c>
      <c r="G208" s="2">
        <v>-0.51290000000000002</v>
      </c>
      <c r="H208" s="2">
        <v>7.1289999999999996</v>
      </c>
      <c r="I208" s="2">
        <v>19030</v>
      </c>
      <c r="J208" s="2">
        <v>0.97489999999999999</v>
      </c>
      <c r="K208" s="2">
        <v>663.6</v>
      </c>
      <c r="L208" s="2">
        <v>0.1052</v>
      </c>
      <c r="M208" s="2">
        <v>0.27729999999999999</v>
      </c>
      <c r="N208">
        <f t="shared" si="43"/>
        <v>9.0500000000000002E-7</v>
      </c>
      <c r="O208" s="7">
        <f t="shared" si="39"/>
        <v>138653871.34855005</v>
      </c>
      <c r="P208" s="7">
        <f t="shared" si="44"/>
        <v>4375583410469003</v>
      </c>
      <c r="Q208">
        <f t="shared" si="45"/>
        <v>63018770</v>
      </c>
      <c r="R208">
        <f t="shared" si="46"/>
        <v>46209122400000.008</v>
      </c>
      <c r="S208" s="1">
        <f t="shared" si="47"/>
        <v>1.9890000000000001E+33</v>
      </c>
      <c r="T208" s="1">
        <f t="shared" si="48"/>
        <v>1.9390760999999998E+33</v>
      </c>
      <c r="U208" s="8">
        <f t="shared" si="40"/>
        <v>1.4359651543029582E-15</v>
      </c>
      <c r="V208" s="11">
        <f t="shared" si="41"/>
        <v>2.1904053796895683E+48</v>
      </c>
      <c r="W208" s="1">
        <f t="shared" si="42"/>
        <v>8.3097961032579372E+47</v>
      </c>
      <c r="X208">
        <f t="shared" si="49"/>
        <v>48.340524497429172</v>
      </c>
      <c r="Y208">
        <f t="shared" si="50"/>
        <v>47.919590367669031</v>
      </c>
      <c r="AA208" s="10">
        <f t="shared" si="51"/>
        <v>138.65387134855004</v>
      </c>
    </row>
    <row r="209" spans="1:27" x14ac:dyDescent="0.25">
      <c r="A209" s="2">
        <v>1</v>
      </c>
      <c r="B209" s="2">
        <v>8.2031799999999997</v>
      </c>
      <c r="C209" s="6">
        <v>3.7451528950769002</v>
      </c>
      <c r="D209" s="2">
        <v>-0.152</v>
      </c>
      <c r="E209" s="2">
        <v>4523</v>
      </c>
      <c r="F209" s="2">
        <v>9.0600000000000001E-4</v>
      </c>
      <c r="G209" s="2">
        <v>-0.51290000000000002</v>
      </c>
      <c r="H209" s="2">
        <v>7.1289999999999996</v>
      </c>
      <c r="I209" s="2">
        <v>19084</v>
      </c>
      <c r="J209" s="2">
        <v>0.97489999999999999</v>
      </c>
      <c r="K209" s="2">
        <v>663.3</v>
      </c>
      <c r="L209" s="2">
        <v>0.1051</v>
      </c>
      <c r="M209" s="2">
        <v>0.27650000000000002</v>
      </c>
      <c r="N209">
        <f t="shared" si="43"/>
        <v>9.0599999999999999E-7</v>
      </c>
      <c r="O209" s="7">
        <f t="shared" si="39"/>
        <v>159654072.08831647</v>
      </c>
      <c r="P209" s="7">
        <f t="shared" si="44"/>
        <v>5038299345334256</v>
      </c>
      <c r="Q209">
        <f t="shared" si="45"/>
        <v>63088404</v>
      </c>
      <c r="R209">
        <f t="shared" si="46"/>
        <v>46188232199999.992</v>
      </c>
      <c r="S209" s="1">
        <f t="shared" si="47"/>
        <v>1.9890000000000001E+33</v>
      </c>
      <c r="T209" s="1">
        <f t="shared" si="48"/>
        <v>1.9390760999999998E+33</v>
      </c>
      <c r="U209" s="8">
        <f t="shared" si="40"/>
        <v>1.2470845570138987E-15</v>
      </c>
      <c r="V209" s="11">
        <f t="shared" si="41"/>
        <v>2.1889155195081195E+48</v>
      </c>
      <c r="W209" s="1">
        <f t="shared" si="42"/>
        <v>8.3202539276782405E+47</v>
      </c>
      <c r="X209">
        <f t="shared" si="49"/>
        <v>48.340229000435244</v>
      </c>
      <c r="Y209">
        <f t="shared" si="50"/>
        <v>47.920136580822771</v>
      </c>
      <c r="AA209" s="10">
        <f t="shared" si="51"/>
        <v>159.65407208831647</v>
      </c>
    </row>
    <row r="210" spans="1:27" x14ac:dyDescent="0.25">
      <c r="A210" s="2">
        <v>1</v>
      </c>
      <c r="B210" s="2">
        <v>8.2668269999999993</v>
      </c>
      <c r="C210" s="6">
        <v>3.745465168670727</v>
      </c>
      <c r="D210" s="2">
        <v>-0.15</v>
      </c>
      <c r="E210" s="2">
        <v>4523</v>
      </c>
      <c r="F210" s="2">
        <v>9.0700000000000004E-4</v>
      </c>
      <c r="G210" s="2">
        <v>-0.51290000000000002</v>
      </c>
      <c r="H210" s="2">
        <v>7.1289999999999996</v>
      </c>
      <c r="I210" s="2">
        <v>19121</v>
      </c>
      <c r="J210" s="2">
        <v>0.97489999999999999</v>
      </c>
      <c r="K210" s="2">
        <v>663.1</v>
      </c>
      <c r="L210" s="2">
        <v>0.105</v>
      </c>
      <c r="M210" s="2">
        <v>0.27600000000000002</v>
      </c>
      <c r="N210">
        <f t="shared" si="43"/>
        <v>9.0700000000000006E-7</v>
      </c>
      <c r="O210" s="7">
        <f t="shared" si="39"/>
        <v>184853211.46646231</v>
      </c>
      <c r="P210" s="7">
        <f t="shared" si="44"/>
        <v>5833523706174031</v>
      </c>
      <c r="Q210">
        <f t="shared" si="45"/>
        <v>63158038</v>
      </c>
      <c r="R210">
        <f t="shared" si="46"/>
        <v>46174305400000</v>
      </c>
      <c r="S210" s="1">
        <f t="shared" si="47"/>
        <v>1.9890000000000001E+33</v>
      </c>
      <c r="T210" s="1">
        <f t="shared" si="48"/>
        <v>1.9390760999999998E+33</v>
      </c>
      <c r="U210" s="8">
        <f t="shared" si="40"/>
        <v>1.0770823302782925E-15</v>
      </c>
      <c r="V210" s="11">
        <f t="shared" si="41"/>
        <v>2.1897832306816805E+48</v>
      </c>
      <c r="W210" s="1">
        <f t="shared" si="42"/>
        <v>8.3306970732455234E+47</v>
      </c>
      <c r="X210">
        <f t="shared" si="49"/>
        <v>48.340401125626308</v>
      </c>
      <c r="Y210">
        <f t="shared" si="50"/>
        <v>47.920681342631028</v>
      </c>
      <c r="AA210" s="10">
        <f t="shared" si="51"/>
        <v>184.85321146646231</v>
      </c>
    </row>
    <row r="211" spans="1:27" x14ac:dyDescent="0.25">
      <c r="A211" s="2">
        <v>1</v>
      </c>
      <c r="B211" s="2">
        <v>8.3326259999999994</v>
      </c>
      <c r="C211" s="6">
        <v>3.7456212213069384</v>
      </c>
      <c r="D211" s="2">
        <v>-0.14799999999999999</v>
      </c>
      <c r="E211" s="2">
        <v>4522</v>
      </c>
      <c r="F211" s="2">
        <v>9.0700000000000004E-4</v>
      </c>
      <c r="G211" s="2">
        <v>-0.51290000000000002</v>
      </c>
      <c r="H211" s="2">
        <v>7.1289999999999996</v>
      </c>
      <c r="I211" s="2">
        <v>19148</v>
      </c>
      <c r="J211" s="2">
        <v>0.97489999999999999</v>
      </c>
      <c r="K211" s="2">
        <v>663.2</v>
      </c>
      <c r="L211" s="2">
        <v>0.105</v>
      </c>
      <c r="M211" s="2">
        <v>0.2757</v>
      </c>
      <c r="N211">
        <f t="shared" si="43"/>
        <v>9.0700000000000006E-7</v>
      </c>
      <c r="O211" s="7">
        <f t="shared" si="39"/>
        <v>215092862.85447425</v>
      </c>
      <c r="P211" s="7">
        <f t="shared" si="44"/>
        <v>6787814528816356</v>
      </c>
      <c r="Q211">
        <f t="shared" si="45"/>
        <v>63158038</v>
      </c>
      <c r="R211">
        <f t="shared" si="46"/>
        <v>46181268800000.008</v>
      </c>
      <c r="S211" s="1">
        <f t="shared" si="47"/>
        <v>1.9890000000000001E+33</v>
      </c>
      <c r="T211" s="1">
        <f t="shared" si="48"/>
        <v>1.9390760999999998E+33</v>
      </c>
      <c r="U211" s="8">
        <f t="shared" si="40"/>
        <v>9.2565659838016146E-16</v>
      </c>
      <c r="V211" s="11">
        <f t="shared" si="41"/>
        <v>2.187403031517896E+48</v>
      </c>
      <c r="W211" s="1">
        <f t="shared" si="42"/>
        <v>8.3306970732455234E+47</v>
      </c>
      <c r="X211">
        <f t="shared" si="49"/>
        <v>48.339928809666866</v>
      </c>
      <c r="Y211">
        <f t="shared" si="50"/>
        <v>47.920681342631028</v>
      </c>
      <c r="AA211" s="10">
        <f t="shared" si="51"/>
        <v>215.09286285447425</v>
      </c>
    </row>
    <row r="212" spans="1:27" x14ac:dyDescent="0.25">
      <c r="A212" s="2">
        <v>1</v>
      </c>
      <c r="B212" s="2">
        <v>8.3923120000000004</v>
      </c>
      <c r="C212" s="6">
        <v>3.745777217889759</v>
      </c>
      <c r="D212" s="2">
        <v>-0.14699999999999999</v>
      </c>
      <c r="E212" s="2">
        <v>4521</v>
      </c>
      <c r="F212" s="2">
        <v>9.0800000000000006E-4</v>
      </c>
      <c r="G212" s="2">
        <v>-0.51290000000000002</v>
      </c>
      <c r="H212" s="2">
        <v>7.1289999999999996</v>
      </c>
      <c r="I212" s="2">
        <v>19171</v>
      </c>
      <c r="J212" s="2">
        <v>0.97489999999999999</v>
      </c>
      <c r="K212" s="2">
        <v>663.5</v>
      </c>
      <c r="L212" s="2">
        <v>0.105</v>
      </c>
      <c r="M212" s="2">
        <v>0.27539999999999998</v>
      </c>
      <c r="N212">
        <f t="shared" si="43"/>
        <v>9.0800000000000003E-7</v>
      </c>
      <c r="O212" s="7">
        <f t="shared" si="39"/>
        <v>246781159.25680423</v>
      </c>
      <c r="P212" s="7">
        <f t="shared" si="44"/>
        <v>7787821111362525</v>
      </c>
      <c r="Q212">
        <f t="shared" si="45"/>
        <v>63227672</v>
      </c>
      <c r="R212">
        <f t="shared" si="46"/>
        <v>46202159000000</v>
      </c>
      <c r="S212" s="1">
        <f t="shared" si="47"/>
        <v>1.9890000000000001E+33</v>
      </c>
      <c r="T212" s="1">
        <f t="shared" si="48"/>
        <v>1.9390760999999998E+33</v>
      </c>
      <c r="U212" s="8">
        <f t="shared" si="40"/>
        <v>8.0679630635227906E-16</v>
      </c>
      <c r="V212" s="11">
        <f t="shared" si="41"/>
        <v>2.1898436203702915E+48</v>
      </c>
      <c r="W212" s="1">
        <f t="shared" si="42"/>
        <v>8.349076983982595E+47</v>
      </c>
      <c r="X212">
        <f t="shared" si="49"/>
        <v>48.340413102403978</v>
      </c>
      <c r="Y212">
        <f t="shared" si="50"/>
        <v>47.921638465553009</v>
      </c>
      <c r="AA212" s="10">
        <f t="shared" si="51"/>
        <v>246.78115925680422</v>
      </c>
    </row>
    <row r="213" spans="1:27" x14ac:dyDescent="0.25">
      <c r="A213" s="2">
        <v>1</v>
      </c>
      <c r="B213" s="2">
        <v>8.4447770000000002</v>
      </c>
      <c r="C213" s="6">
        <v>3.7458551951737289</v>
      </c>
      <c r="D213" s="2">
        <v>-0.14599999999999999</v>
      </c>
      <c r="E213" s="2">
        <v>4521</v>
      </c>
      <c r="F213" s="2">
        <v>9.0899999999999998E-4</v>
      </c>
      <c r="G213" s="2">
        <v>-0.51290000000000002</v>
      </c>
      <c r="H213" s="2">
        <v>7.1289999999999996</v>
      </c>
      <c r="I213" s="2">
        <v>19190</v>
      </c>
      <c r="J213" s="2">
        <v>0.97489999999999999</v>
      </c>
      <c r="K213" s="2">
        <v>663.8</v>
      </c>
      <c r="L213" s="2">
        <v>0.10490000000000001</v>
      </c>
      <c r="M213" s="2">
        <v>0.2752</v>
      </c>
      <c r="N213">
        <f t="shared" si="43"/>
        <v>9.09E-7</v>
      </c>
      <c r="O213" s="7">
        <f t="shared" si="39"/>
        <v>278469092.81799716</v>
      </c>
      <c r="P213" s="7">
        <f t="shared" si="44"/>
        <v>8787816243513227</v>
      </c>
      <c r="Q213">
        <f t="shared" si="45"/>
        <v>63297306</v>
      </c>
      <c r="R213">
        <f t="shared" si="46"/>
        <v>46223049199999.992</v>
      </c>
      <c r="S213" s="1">
        <f t="shared" si="47"/>
        <v>1.9890000000000001E+33</v>
      </c>
      <c r="T213" s="1">
        <f t="shared" si="48"/>
        <v>1.9390760999999998E+33</v>
      </c>
      <c r="U213" s="8">
        <f t="shared" si="40"/>
        <v>7.149882442998911E-16</v>
      </c>
      <c r="V213" s="11">
        <f t="shared" si="41"/>
        <v>2.1930759153785155E+48</v>
      </c>
      <c r="W213" s="1">
        <f t="shared" si="42"/>
        <v>8.3595081222095318E+47</v>
      </c>
      <c r="X213">
        <f t="shared" si="49"/>
        <v>48.341053665448314</v>
      </c>
      <c r="Y213">
        <f t="shared" si="50"/>
        <v>47.922180724078395</v>
      </c>
      <c r="AA213" s="10">
        <f t="shared" si="51"/>
        <v>278.46909281799714</v>
      </c>
    </row>
    <row r="214" spans="1:27" x14ac:dyDescent="0.25">
      <c r="A214" s="2">
        <v>1</v>
      </c>
      <c r="B214" s="2">
        <v>8.4915819999999993</v>
      </c>
      <c r="C214" s="6">
        <v>3.7460111077519258</v>
      </c>
      <c r="D214" s="2">
        <v>-0.14499999999999999</v>
      </c>
      <c r="E214" s="2">
        <v>4520</v>
      </c>
      <c r="F214" s="2">
        <v>9.0899999999999998E-4</v>
      </c>
      <c r="G214" s="2">
        <v>-0.51290000000000002</v>
      </c>
      <c r="H214" s="2">
        <v>7.13</v>
      </c>
      <c r="I214" s="2">
        <v>19203</v>
      </c>
      <c r="J214" s="2">
        <v>0.97489999999999999</v>
      </c>
      <c r="K214" s="2">
        <v>664.1</v>
      </c>
      <c r="L214" s="2">
        <v>0.10490000000000001</v>
      </c>
      <c r="M214" s="2">
        <v>0.27500000000000002</v>
      </c>
      <c r="N214">
        <f t="shared" si="43"/>
        <v>9.09E-7</v>
      </c>
      <c r="O214" s="7">
        <f t="shared" si="39"/>
        <v>310157294.73722875</v>
      </c>
      <c r="P214" s="7">
        <f t="shared" si="44"/>
        <v>9787819844399570</v>
      </c>
      <c r="Q214">
        <f t="shared" si="45"/>
        <v>63297306</v>
      </c>
      <c r="R214">
        <f t="shared" si="46"/>
        <v>46243939400000</v>
      </c>
      <c r="S214" s="1">
        <f t="shared" si="47"/>
        <v>1.9890000000000001E+33</v>
      </c>
      <c r="T214" s="1">
        <f t="shared" si="48"/>
        <v>1.9390760999999998E+33</v>
      </c>
      <c r="U214" s="8">
        <f t="shared" si="40"/>
        <v>6.4193920679636554E-16</v>
      </c>
      <c r="V214" s="11">
        <f t="shared" si="41"/>
        <v>2.1914821102074557E+48</v>
      </c>
      <c r="W214" s="1">
        <f t="shared" si="42"/>
        <v>8.3595081222095318E+47</v>
      </c>
      <c r="X214">
        <f t="shared" si="49"/>
        <v>48.340737929715097</v>
      </c>
      <c r="Y214">
        <f t="shared" si="50"/>
        <v>47.922180724078395</v>
      </c>
      <c r="AA214" s="10">
        <f t="shared" si="51"/>
        <v>310.15729473722877</v>
      </c>
    </row>
    <row r="215" spans="1:27" x14ac:dyDescent="0.25">
      <c r="A215" s="2">
        <v>1</v>
      </c>
      <c r="B215" s="2">
        <v>8.5338290000000008</v>
      </c>
      <c r="C215" s="6">
        <v>3.7460111077519258</v>
      </c>
      <c r="D215" s="2">
        <v>-0.14399999999999999</v>
      </c>
      <c r="E215" s="2">
        <v>4519</v>
      </c>
      <c r="F215" s="2">
        <v>9.1E-4</v>
      </c>
      <c r="G215" s="2">
        <v>-0.51290000000000002</v>
      </c>
      <c r="H215" s="2">
        <v>7.13</v>
      </c>
      <c r="I215" s="2">
        <v>19216</v>
      </c>
      <c r="J215" s="2">
        <v>0.97489999999999999</v>
      </c>
      <c r="K215" s="2">
        <v>664.5</v>
      </c>
      <c r="L215" s="2">
        <v>0.10490000000000001</v>
      </c>
      <c r="M215" s="2">
        <v>0.27479999999999999</v>
      </c>
      <c r="N215">
        <f t="shared" si="43"/>
        <v>9.0999999999999997E-7</v>
      </c>
      <c r="O215" s="7">
        <f t="shared" si="39"/>
        <v>341844817.3321858</v>
      </c>
      <c r="P215" s="7">
        <f t="shared" si="44"/>
        <v>1.0787802007442186E+16</v>
      </c>
      <c r="Q215">
        <f t="shared" si="45"/>
        <v>63366940</v>
      </c>
      <c r="R215">
        <f t="shared" si="46"/>
        <v>46271793000000</v>
      </c>
      <c r="S215" s="1">
        <f t="shared" si="47"/>
        <v>1.9890000000000001E+33</v>
      </c>
      <c r="T215" s="1">
        <f t="shared" si="48"/>
        <v>1.9390760999999998E+33</v>
      </c>
      <c r="U215" s="8">
        <f t="shared" si="40"/>
        <v>5.8243424405129074E-16</v>
      </c>
      <c r="V215" s="11">
        <f t="shared" si="41"/>
        <v>2.1947091914259667E+48</v>
      </c>
      <c r="W215" s="1">
        <f t="shared" si="42"/>
        <v>8.3779109963822401E+47</v>
      </c>
      <c r="X215">
        <f t="shared" si="49"/>
        <v>48.341376982470599</v>
      </c>
      <c r="Y215">
        <f t="shared" si="50"/>
        <v>47.923135742276649</v>
      </c>
      <c r="AA215" s="10">
        <f t="shared" si="51"/>
        <v>341.84481733218581</v>
      </c>
    </row>
    <row r="216" spans="1:27" x14ac:dyDescent="0.25">
      <c r="A216" s="2">
        <v>1</v>
      </c>
      <c r="B216" s="2">
        <v>8.5723289999999999</v>
      </c>
      <c r="C216" s="6">
        <v>3.7460890430562004</v>
      </c>
      <c r="D216" s="2">
        <v>-0.14299999999999999</v>
      </c>
      <c r="E216" s="2">
        <v>4519</v>
      </c>
      <c r="F216" s="2">
        <v>9.1100000000000003E-4</v>
      </c>
      <c r="G216" s="2">
        <v>-0.51290000000000002</v>
      </c>
      <c r="H216" s="2">
        <v>7.13</v>
      </c>
      <c r="I216" s="2">
        <v>19227</v>
      </c>
      <c r="J216" s="2">
        <v>0.97489999999999999</v>
      </c>
      <c r="K216" s="2">
        <v>664.9</v>
      </c>
      <c r="L216" s="2">
        <v>0.10490000000000001</v>
      </c>
      <c r="M216" s="2">
        <v>0.2747</v>
      </c>
      <c r="N216">
        <f t="shared" si="43"/>
        <v>9.1100000000000004E-7</v>
      </c>
      <c r="O216" s="7">
        <f t="shared" si="39"/>
        <v>373533020.76570445</v>
      </c>
      <c r="P216" s="7">
        <f t="shared" si="44"/>
        <v>1.1787805656115794E+16</v>
      </c>
      <c r="Q216">
        <f t="shared" si="45"/>
        <v>63436574</v>
      </c>
      <c r="R216">
        <f t="shared" si="46"/>
        <v>46299646600000</v>
      </c>
      <c r="S216" s="1">
        <f t="shared" si="47"/>
        <v>1.9890000000000001E+33</v>
      </c>
      <c r="T216" s="1">
        <f t="shared" si="48"/>
        <v>1.9390760999999998E+33</v>
      </c>
      <c r="U216" s="8">
        <f t="shared" si="40"/>
        <v>5.330241684057389E-16</v>
      </c>
      <c r="V216" s="11">
        <f t="shared" si="41"/>
        <v>2.1987349652399423E+48</v>
      </c>
      <c r="W216" s="1">
        <f t="shared" si="42"/>
        <v>8.3963341046112113E+47</v>
      </c>
      <c r="X216">
        <f t="shared" si="49"/>
        <v>48.342172882807461</v>
      </c>
      <c r="Y216">
        <f t="shared" si="50"/>
        <v>47.924089711580457</v>
      </c>
      <c r="AA216" s="10">
        <f t="shared" si="51"/>
        <v>373.53302076570446</v>
      </c>
    </row>
    <row r="217" spans="1:27" x14ac:dyDescent="0.25">
      <c r="A217" s="2">
        <v>1</v>
      </c>
      <c r="B217" s="2">
        <v>8.6076920000000001</v>
      </c>
      <c r="C217" s="6">
        <v>3.7461669643772852</v>
      </c>
      <c r="D217" s="2">
        <v>-0.14199999999999999</v>
      </c>
      <c r="E217" s="2">
        <v>4518</v>
      </c>
      <c r="F217" s="2">
        <v>9.1100000000000003E-4</v>
      </c>
      <c r="G217" s="2">
        <v>-0.51290000000000002</v>
      </c>
      <c r="H217" s="2">
        <v>7.13</v>
      </c>
      <c r="I217" s="2">
        <v>19240</v>
      </c>
      <c r="J217" s="2">
        <v>0.97489999999999999</v>
      </c>
      <c r="K217" s="2">
        <v>665.3</v>
      </c>
      <c r="L217" s="2">
        <v>0.10490000000000001</v>
      </c>
      <c r="M217" s="2">
        <v>0.27460000000000001</v>
      </c>
      <c r="N217">
        <f t="shared" si="43"/>
        <v>9.1100000000000004E-7</v>
      </c>
      <c r="O217" s="7">
        <f t="shared" si="39"/>
        <v>405221052.28550619</v>
      </c>
      <c r="P217" s="7">
        <f t="shared" si="44"/>
        <v>1.278780387960509E+16</v>
      </c>
      <c r="Q217">
        <f t="shared" si="45"/>
        <v>63436574</v>
      </c>
      <c r="R217">
        <f t="shared" si="46"/>
        <v>46327500199999.992</v>
      </c>
      <c r="S217" s="1">
        <f t="shared" si="47"/>
        <v>1.9890000000000001E+33</v>
      </c>
      <c r="T217" s="1">
        <f t="shared" si="48"/>
        <v>1.9390760999999998E+33</v>
      </c>
      <c r="U217" s="8">
        <f t="shared" si="40"/>
        <v>4.9134201355718804E-16</v>
      </c>
      <c r="V217" s="11">
        <f t="shared" si="41"/>
        <v>2.1979345520745839E+48</v>
      </c>
      <c r="W217" s="1">
        <f t="shared" si="42"/>
        <v>8.3963341046112113E+47</v>
      </c>
      <c r="X217">
        <f t="shared" si="49"/>
        <v>48.342014756287632</v>
      </c>
      <c r="Y217">
        <f t="shared" si="50"/>
        <v>47.924089711580457</v>
      </c>
      <c r="AA217" s="10">
        <f t="shared" si="51"/>
        <v>405.22105228550618</v>
      </c>
    </row>
    <row r="218" spans="1:27" x14ac:dyDescent="0.25">
      <c r="A218" s="2">
        <v>1</v>
      </c>
      <c r="B218" s="2">
        <v>8.6403909999999993</v>
      </c>
      <c r="C218" s="6">
        <v>3.7462448717201982</v>
      </c>
      <c r="D218" s="2">
        <v>-0.14099999999999999</v>
      </c>
      <c r="E218" s="2">
        <v>4517</v>
      </c>
      <c r="F218" s="2">
        <v>9.1200000000000005E-4</v>
      </c>
      <c r="G218" s="2">
        <v>-0.51290000000000002</v>
      </c>
      <c r="H218" s="2">
        <v>7.1310000000000002</v>
      </c>
      <c r="I218" s="2">
        <v>19253</v>
      </c>
      <c r="J218" s="2">
        <v>0.97489999999999999</v>
      </c>
      <c r="K218" s="2">
        <v>665.6</v>
      </c>
      <c r="L218" s="2">
        <v>0.10490000000000001</v>
      </c>
      <c r="M218" s="2">
        <v>0.27439999999999998</v>
      </c>
      <c r="N218">
        <f t="shared" si="43"/>
        <v>9.1200000000000001E-7</v>
      </c>
      <c r="O218" s="7">
        <f t="shared" si="39"/>
        <v>436909009.10992843</v>
      </c>
      <c r="P218" s="7">
        <f t="shared" si="44"/>
        <v>1.3787799745887478E+16</v>
      </c>
      <c r="Q218">
        <f t="shared" si="45"/>
        <v>63506208.000000007</v>
      </c>
      <c r="R218">
        <f t="shared" si="46"/>
        <v>46348390400000</v>
      </c>
      <c r="S218" s="1">
        <f t="shared" si="47"/>
        <v>1.9890000000000001E+33</v>
      </c>
      <c r="T218" s="1">
        <f t="shared" si="48"/>
        <v>1.9390760999999998E+33</v>
      </c>
      <c r="U218" s="8">
        <f t="shared" si="40"/>
        <v>4.5570616218542689E-16</v>
      </c>
      <c r="V218" s="11">
        <f t="shared" si="41"/>
        <v>2.2011581805799669E+48</v>
      </c>
      <c r="W218" s="1">
        <f t="shared" si="42"/>
        <v>8.4147774468964518E+47</v>
      </c>
      <c r="X218">
        <f t="shared" si="49"/>
        <v>48.342651253132445</v>
      </c>
      <c r="Y218">
        <f t="shared" si="50"/>
        <v>47.925042634291295</v>
      </c>
      <c r="AA218" s="10">
        <f t="shared" si="51"/>
        <v>436.90900910992843</v>
      </c>
    </row>
    <row r="219" spans="1:27" x14ac:dyDescent="0.25">
      <c r="A219" s="2">
        <v>1</v>
      </c>
      <c r="B219" s="2">
        <v>8.6707999999999998</v>
      </c>
      <c r="C219" s="6">
        <v>3.7463227650899529</v>
      </c>
      <c r="D219" s="2">
        <v>-0.14000000000000001</v>
      </c>
      <c r="E219" s="2">
        <v>4517</v>
      </c>
      <c r="F219" s="2">
        <v>9.1300000000000007E-4</v>
      </c>
      <c r="G219" s="2">
        <v>-0.51290000000000002</v>
      </c>
      <c r="H219" s="2">
        <v>7.1310000000000002</v>
      </c>
      <c r="I219" s="2">
        <v>19267</v>
      </c>
      <c r="J219" s="2">
        <v>0.97489999999999999</v>
      </c>
      <c r="K219" s="2">
        <v>666</v>
      </c>
      <c r="L219" s="2">
        <v>0.10490000000000001</v>
      </c>
      <c r="M219" s="2">
        <v>0.2742</v>
      </c>
      <c r="N219">
        <f t="shared" si="43"/>
        <v>9.1300000000000009E-7</v>
      </c>
      <c r="O219" s="7">
        <f t="shared" si="39"/>
        <v>468597535.30862737</v>
      </c>
      <c r="P219" s="7">
        <f t="shared" si="44"/>
        <v>1.4787813580255538E+16</v>
      </c>
      <c r="Q219">
        <f t="shared" si="45"/>
        <v>63575842.000000007</v>
      </c>
      <c r="R219">
        <f t="shared" si="46"/>
        <v>46376244000000</v>
      </c>
      <c r="S219" s="1">
        <f t="shared" si="47"/>
        <v>1.9890000000000001E+33</v>
      </c>
      <c r="T219" s="1">
        <f t="shared" si="48"/>
        <v>1.9390760999999998E+33</v>
      </c>
      <c r="U219" s="8">
        <f t="shared" si="40"/>
        <v>4.2488940458167519E-16</v>
      </c>
      <c r="V219" s="11">
        <f t="shared" si="41"/>
        <v>2.2043800653687763E+48</v>
      </c>
      <c r="W219" s="1">
        <f t="shared" si="42"/>
        <v>8.4332410232379521E+47</v>
      </c>
      <c r="X219">
        <f t="shared" si="49"/>
        <v>48.343286474962994</v>
      </c>
      <c r="Y219">
        <f t="shared" si="50"/>
        <v>47.925994512703056</v>
      </c>
      <c r="AA219" s="10">
        <f t="shared" si="51"/>
        <v>468.59753530862736</v>
      </c>
    </row>
    <row r="220" spans="1:27" x14ac:dyDescent="0.25">
      <c r="A220" s="2">
        <v>1</v>
      </c>
      <c r="B220" s="2">
        <v>8.6992170000000009</v>
      </c>
      <c r="C220" s="6">
        <v>3.7463227650899529</v>
      </c>
      <c r="D220" s="2">
        <v>-0.13900000000000001</v>
      </c>
      <c r="E220" s="2">
        <v>4516</v>
      </c>
      <c r="F220" s="2">
        <v>9.1300000000000007E-4</v>
      </c>
      <c r="G220" s="2">
        <v>-0.51290000000000002</v>
      </c>
      <c r="H220" s="2">
        <v>7.1310000000000002</v>
      </c>
      <c r="I220" s="2">
        <v>19280</v>
      </c>
      <c r="J220" s="2">
        <v>0.97489999999999999</v>
      </c>
      <c r="K220" s="2">
        <v>666.3</v>
      </c>
      <c r="L220" s="2">
        <v>0.10479999999999999</v>
      </c>
      <c r="M220" s="2">
        <v>0.27410000000000001</v>
      </c>
      <c r="N220">
        <f t="shared" si="43"/>
        <v>9.1300000000000009E-7</v>
      </c>
      <c r="O220" s="7">
        <f t="shared" si="39"/>
        <v>500284445.145329</v>
      </c>
      <c r="P220" s="7">
        <f t="shared" si="44"/>
        <v>1.5787776406118234E+16</v>
      </c>
      <c r="Q220">
        <f t="shared" si="45"/>
        <v>63575842.000000007</v>
      </c>
      <c r="R220">
        <f t="shared" si="46"/>
        <v>46397134200000</v>
      </c>
      <c r="S220" s="1">
        <f t="shared" si="47"/>
        <v>1.9890000000000001E+33</v>
      </c>
      <c r="T220" s="1">
        <f t="shared" si="48"/>
        <v>1.9390760999999998E+33</v>
      </c>
      <c r="U220" s="8">
        <f t="shared" si="40"/>
        <v>3.9797784979680003E-16</v>
      </c>
      <c r="V220" s="11">
        <f t="shared" si="41"/>
        <v>2.2035761339080294E+48</v>
      </c>
      <c r="W220" s="1">
        <f t="shared" si="42"/>
        <v>8.4252017086304794E+47</v>
      </c>
      <c r="X220">
        <f t="shared" si="49"/>
        <v>48.343128060048997</v>
      </c>
      <c r="Y220">
        <f t="shared" si="50"/>
        <v>47.925580307157205</v>
      </c>
      <c r="AA220" s="10">
        <f t="shared" si="51"/>
        <v>500.28444514532902</v>
      </c>
    </row>
    <row r="221" spans="1:27" x14ac:dyDescent="0.25">
      <c r="A221" s="2">
        <v>1</v>
      </c>
      <c r="B221" s="2">
        <v>8.7258899999999997</v>
      </c>
      <c r="C221" s="6">
        <v>3.746400644491561</v>
      </c>
      <c r="D221" s="2">
        <v>-0.13900000000000001</v>
      </c>
      <c r="E221" s="2">
        <v>4516</v>
      </c>
      <c r="F221" s="2">
        <v>9.1399999999999999E-4</v>
      </c>
      <c r="G221" s="2">
        <v>-0.51290000000000002</v>
      </c>
      <c r="H221" s="2">
        <v>7.1310000000000002</v>
      </c>
      <c r="I221" s="2">
        <v>19294</v>
      </c>
      <c r="J221" s="2">
        <v>0.97489999999999999</v>
      </c>
      <c r="K221" s="2">
        <v>666.6</v>
      </c>
      <c r="L221" s="2">
        <v>0.10479999999999999</v>
      </c>
      <c r="M221" s="2">
        <v>0.27389999999999998</v>
      </c>
      <c r="N221">
        <f t="shared" si="43"/>
        <v>9.1399999999999995E-7</v>
      </c>
      <c r="O221" s="7">
        <f t="shared" si="39"/>
        <v>531973501.63349485</v>
      </c>
      <c r="P221" s="7">
        <f t="shared" si="44"/>
        <v>1.6787806975149178E+16</v>
      </c>
      <c r="Q221">
        <f t="shared" si="45"/>
        <v>63645476</v>
      </c>
      <c r="R221">
        <f t="shared" si="46"/>
        <v>46418024400000</v>
      </c>
      <c r="S221" s="1">
        <f t="shared" si="47"/>
        <v>1.9890000000000001E+33</v>
      </c>
      <c r="T221" s="1">
        <f t="shared" si="48"/>
        <v>1.9390760999999998E+33</v>
      </c>
      <c r="U221" s="8">
        <f t="shared" si="40"/>
        <v>3.742707618976393E-16</v>
      </c>
      <c r="V221" s="11">
        <f t="shared" si="41"/>
        <v>2.2067945013658935E+48</v>
      </c>
      <c r="W221" s="1">
        <f t="shared" si="42"/>
        <v>8.4436678986179496E+47</v>
      </c>
      <c r="X221">
        <f t="shared" si="49"/>
        <v>48.343761893162529</v>
      </c>
      <c r="Y221">
        <f t="shared" si="50"/>
        <v>47.926531143556275</v>
      </c>
      <c r="AA221" s="10">
        <f t="shared" si="51"/>
        <v>531.97350163349483</v>
      </c>
    </row>
    <row r="222" spans="1:27" x14ac:dyDescent="0.25">
      <c r="A222" s="2">
        <v>1</v>
      </c>
      <c r="B222" s="2">
        <v>8.7510189999999994</v>
      </c>
      <c r="C222" s="6">
        <v>3.7464785099300308</v>
      </c>
      <c r="D222" s="2">
        <v>-0.13800000000000001</v>
      </c>
      <c r="E222" s="2">
        <v>4515</v>
      </c>
      <c r="F222" s="2">
        <v>9.1500000000000001E-4</v>
      </c>
      <c r="G222" s="2">
        <v>-0.51290000000000002</v>
      </c>
      <c r="H222" s="2">
        <v>7.1319999999999997</v>
      </c>
      <c r="I222" s="2">
        <v>19308</v>
      </c>
      <c r="J222" s="2">
        <v>0.97619999999999996</v>
      </c>
      <c r="K222" s="2">
        <v>672.6</v>
      </c>
      <c r="L222" s="2">
        <v>0.10249999999999999</v>
      </c>
      <c r="M222" s="2">
        <v>0.27460000000000001</v>
      </c>
      <c r="N222">
        <f t="shared" si="43"/>
        <v>9.1500000000000003E-7</v>
      </c>
      <c r="O222" s="7">
        <f t="shared" si="39"/>
        <v>563662315.01497948</v>
      </c>
      <c r="P222" s="7">
        <f t="shared" si="44"/>
        <v>1.7787829872316716E+16</v>
      </c>
      <c r="Q222">
        <f t="shared" si="45"/>
        <v>63715110</v>
      </c>
      <c r="R222">
        <f t="shared" si="46"/>
        <v>46835828400000</v>
      </c>
      <c r="S222" s="1">
        <f t="shared" si="47"/>
        <v>1.9890000000000001E+33</v>
      </c>
      <c r="T222" s="1">
        <f t="shared" si="48"/>
        <v>1.9416618E+33</v>
      </c>
      <c r="U222" s="8">
        <f t="shared" si="40"/>
        <v>3.5322944689043478E-16</v>
      </c>
      <c r="V222" s="11">
        <f t="shared" si="41"/>
        <v>2.2172782172768776E+48</v>
      </c>
      <c r="W222" s="1">
        <f t="shared" si="42"/>
        <v>8.2764390848827361E+47</v>
      </c>
      <c r="X222">
        <f t="shared" si="49"/>
        <v>48.345820190474534</v>
      </c>
      <c r="Y222">
        <f t="shared" si="50"/>
        <v>47.917843522965569</v>
      </c>
      <c r="AA222" s="10">
        <f t="shared" si="51"/>
        <v>563.66231501497953</v>
      </c>
    </row>
    <row r="223" spans="1:27" x14ac:dyDescent="0.25">
      <c r="A223" s="2">
        <v>1</v>
      </c>
      <c r="B223" s="2">
        <v>8.7747720000000005</v>
      </c>
      <c r="C223" s="6">
        <v>3.7465563614103692</v>
      </c>
      <c r="D223" s="2">
        <v>-0.13700000000000001</v>
      </c>
      <c r="E223" s="2">
        <v>4514</v>
      </c>
      <c r="F223" s="2">
        <v>9.1500000000000001E-4</v>
      </c>
      <c r="G223" s="2">
        <v>-0.51290000000000002</v>
      </c>
      <c r="H223" s="2">
        <v>7.1319999999999997</v>
      </c>
      <c r="I223" s="2">
        <v>19322</v>
      </c>
      <c r="J223" s="2">
        <v>0.97619999999999996</v>
      </c>
      <c r="K223" s="2">
        <v>672.9</v>
      </c>
      <c r="L223" s="2">
        <v>0.10249999999999999</v>
      </c>
      <c r="M223" s="2">
        <v>0.27439999999999998</v>
      </c>
      <c r="N223">
        <f t="shared" si="43"/>
        <v>9.1500000000000003E-7</v>
      </c>
      <c r="O223" s="7">
        <f t="shared" si="39"/>
        <v>595349509.28897452</v>
      </c>
      <c r="P223" s="7">
        <f t="shared" si="44"/>
        <v>1.8787801674337744E+16</v>
      </c>
      <c r="Q223">
        <f t="shared" si="45"/>
        <v>63715110</v>
      </c>
      <c r="R223">
        <f t="shared" si="46"/>
        <v>46856718599999.992</v>
      </c>
      <c r="S223" s="1">
        <f t="shared" si="47"/>
        <v>1.9890000000000001E+33</v>
      </c>
      <c r="T223" s="1">
        <f t="shared" si="48"/>
        <v>1.9416618E+33</v>
      </c>
      <c r="U223" s="8">
        <f t="shared" si="40"/>
        <v>3.3442897770002483E-16</v>
      </c>
      <c r="V223" s="11">
        <f t="shared" si="41"/>
        <v>2.2156633023334853E+48</v>
      </c>
      <c r="W223" s="1">
        <f t="shared" si="42"/>
        <v>8.2764390848827361E+47</v>
      </c>
      <c r="X223">
        <f t="shared" si="49"/>
        <v>48.345503764608509</v>
      </c>
      <c r="Y223">
        <f t="shared" si="50"/>
        <v>47.917843522965569</v>
      </c>
      <c r="AA223" s="10">
        <f t="shared" si="51"/>
        <v>595.34950928897456</v>
      </c>
    </row>
    <row r="224" spans="1:27" x14ac:dyDescent="0.25">
      <c r="A224" s="2">
        <v>1</v>
      </c>
      <c r="B224" s="2">
        <v>8.7972940000000008</v>
      </c>
      <c r="C224" s="6">
        <v>3.7466341989375787</v>
      </c>
      <c r="D224" s="2">
        <v>-0.13600000000000001</v>
      </c>
      <c r="E224" s="2">
        <v>4514</v>
      </c>
      <c r="F224" s="2">
        <v>9.1600000000000004E-4</v>
      </c>
      <c r="G224" s="2">
        <v>-0.51290000000000002</v>
      </c>
      <c r="H224" s="2">
        <v>7.1319999999999997</v>
      </c>
      <c r="I224" s="2">
        <v>19337</v>
      </c>
      <c r="J224" s="2">
        <v>0.97619999999999996</v>
      </c>
      <c r="K224" s="2">
        <v>673.2</v>
      </c>
      <c r="L224" s="2">
        <v>0.10249999999999999</v>
      </c>
      <c r="M224" s="2">
        <v>0.2742</v>
      </c>
      <c r="N224">
        <f t="shared" si="43"/>
        <v>9.16E-7</v>
      </c>
      <c r="O224" s="7">
        <f t="shared" si="39"/>
        <v>627038200.81812859</v>
      </c>
      <c r="P224" s="7">
        <f t="shared" si="44"/>
        <v>1.9787820726138176E+16</v>
      </c>
      <c r="Q224">
        <f t="shared" si="45"/>
        <v>63784744.000000007</v>
      </c>
      <c r="R224">
        <f t="shared" si="46"/>
        <v>46877608800000.008</v>
      </c>
      <c r="S224" s="1">
        <f t="shared" si="47"/>
        <v>1.9890000000000001E+33</v>
      </c>
      <c r="T224" s="1">
        <f t="shared" si="48"/>
        <v>1.9416618E+33</v>
      </c>
      <c r="U224" s="8">
        <f t="shared" si="40"/>
        <v>3.1752790740013054E-16</v>
      </c>
      <c r="V224" s="11">
        <f t="shared" si="41"/>
        <v>2.2188904819253883E+48</v>
      </c>
      <c r="W224" s="1">
        <f t="shared" si="42"/>
        <v>8.2945395476787852E+47</v>
      </c>
      <c r="X224">
        <f t="shared" si="49"/>
        <v>48.346135867230096</v>
      </c>
      <c r="Y224">
        <f t="shared" si="50"/>
        <v>47.918792282168376</v>
      </c>
      <c r="AA224" s="10">
        <f t="shared" si="51"/>
        <v>627.03820081812853</v>
      </c>
    </row>
    <row r="225" spans="1:27" x14ac:dyDescent="0.25">
      <c r="A225" s="2">
        <v>1</v>
      </c>
      <c r="B225" s="2">
        <v>8.8187049999999996</v>
      </c>
      <c r="C225" s="6">
        <v>3.7467120225166606</v>
      </c>
      <c r="D225" s="2">
        <v>-0.13500000000000001</v>
      </c>
      <c r="E225" s="2">
        <v>4513</v>
      </c>
      <c r="F225" s="2">
        <v>9.1700000000000006E-4</v>
      </c>
      <c r="G225" s="2">
        <v>-0.51290000000000002</v>
      </c>
      <c r="H225" s="2">
        <v>7.133</v>
      </c>
      <c r="I225" s="2">
        <v>19351</v>
      </c>
      <c r="J225" s="2">
        <v>0.97619999999999996</v>
      </c>
      <c r="K225" s="2">
        <v>673.5</v>
      </c>
      <c r="L225" s="2">
        <v>0.1024</v>
      </c>
      <c r="M225" s="2">
        <v>0.27410000000000001</v>
      </c>
      <c r="N225">
        <f t="shared" si="43"/>
        <v>9.1700000000000007E-7</v>
      </c>
      <c r="O225" s="7">
        <f t="shared" si="39"/>
        <v>658726295.10501051</v>
      </c>
      <c r="P225" s="7">
        <f t="shared" si="44"/>
        <v>2.078782093040588E+16</v>
      </c>
      <c r="Q225">
        <f t="shared" si="45"/>
        <v>63854378</v>
      </c>
      <c r="R225">
        <f t="shared" si="46"/>
        <v>46898499000000</v>
      </c>
      <c r="S225" s="1">
        <f t="shared" si="47"/>
        <v>1.9890000000000001E+33</v>
      </c>
      <c r="T225" s="1">
        <f t="shared" si="48"/>
        <v>1.9416618E+33</v>
      </c>
      <c r="U225" s="8">
        <f t="shared" si="40"/>
        <v>3.0225319566753202E-16</v>
      </c>
      <c r="V225" s="11">
        <f t="shared" si="41"/>
        <v>2.2229268742788999E+48</v>
      </c>
      <c r="W225" s="1">
        <f t="shared" si="42"/>
        <v>8.3045498696154462E+47</v>
      </c>
      <c r="X225">
        <f t="shared" si="49"/>
        <v>48.34692517632044</v>
      </c>
      <c r="Y225">
        <f t="shared" si="50"/>
        <v>47.919316097420754</v>
      </c>
      <c r="AA225" s="10">
        <f t="shared" si="51"/>
        <v>658.72629510501054</v>
      </c>
    </row>
    <row r="226" spans="1:27" x14ac:dyDescent="0.25">
      <c r="A226" s="2">
        <v>1</v>
      </c>
      <c r="B226" s="2">
        <v>8.8391099999999998</v>
      </c>
      <c r="C226" s="6">
        <v>3.7467898321526123</v>
      </c>
      <c r="D226" s="2">
        <v>-0.13400000000000001</v>
      </c>
      <c r="E226" s="2">
        <v>4513</v>
      </c>
      <c r="F226" s="2">
        <v>9.1700000000000006E-4</v>
      </c>
      <c r="G226" s="2">
        <v>-0.51290000000000002</v>
      </c>
      <c r="H226" s="2">
        <v>7.133</v>
      </c>
      <c r="I226" s="2">
        <v>19366</v>
      </c>
      <c r="J226" s="2">
        <v>0.97619999999999996</v>
      </c>
      <c r="K226" s="2">
        <v>673.8</v>
      </c>
      <c r="L226" s="2">
        <v>0.1024</v>
      </c>
      <c r="M226" s="2">
        <v>0.27389999999999998</v>
      </c>
      <c r="N226">
        <f t="shared" si="43"/>
        <v>9.1700000000000007E-7</v>
      </c>
      <c r="O226" s="7">
        <f t="shared" si="39"/>
        <v>690414652.92969835</v>
      </c>
      <c r="P226" s="7">
        <f t="shared" si="44"/>
        <v>2.1787829451294248E+16</v>
      </c>
      <c r="Q226">
        <f t="shared" si="45"/>
        <v>63854378</v>
      </c>
      <c r="R226">
        <f t="shared" si="46"/>
        <v>46919389199999.992</v>
      </c>
      <c r="S226" s="1">
        <f t="shared" si="47"/>
        <v>1.9890000000000001E+33</v>
      </c>
      <c r="T226" s="1">
        <f t="shared" si="48"/>
        <v>1.9416618E+33</v>
      </c>
      <c r="U226" s="8">
        <f t="shared" si="40"/>
        <v>2.8838050716457898E-16</v>
      </c>
      <c r="V226" s="11">
        <f t="shared" si="41"/>
        <v>2.2213048918824902E+48</v>
      </c>
      <c r="W226" s="1">
        <f t="shared" si="42"/>
        <v>8.3045498696154462E+47</v>
      </c>
      <c r="X226">
        <f t="shared" si="49"/>
        <v>48.346608173034902</v>
      </c>
      <c r="Y226">
        <f t="shared" si="50"/>
        <v>47.919316097420754</v>
      </c>
      <c r="AA226" s="10">
        <f t="shared" si="51"/>
        <v>690.41465292969838</v>
      </c>
    </row>
    <row r="227" spans="1:27" x14ac:dyDescent="0.25">
      <c r="A227" s="2">
        <v>1</v>
      </c>
      <c r="B227" s="2">
        <v>8.8585989999999999</v>
      </c>
      <c r="C227" s="6">
        <v>3.7468676278504294</v>
      </c>
      <c r="D227" s="2">
        <v>-0.13300000000000001</v>
      </c>
      <c r="E227" s="2">
        <v>4512</v>
      </c>
      <c r="F227" s="2">
        <v>9.1800000000000009E-4</v>
      </c>
      <c r="G227" s="2">
        <v>-0.51429999999999998</v>
      </c>
      <c r="H227" s="2">
        <v>7.133</v>
      </c>
      <c r="I227" s="2">
        <v>19380</v>
      </c>
      <c r="J227" s="2">
        <v>0.97619999999999996</v>
      </c>
      <c r="K227" s="2">
        <v>674.1</v>
      </c>
      <c r="L227" s="2">
        <v>0.1024</v>
      </c>
      <c r="M227" s="2">
        <v>0.2737</v>
      </c>
      <c r="N227">
        <f t="shared" si="43"/>
        <v>9.1800000000000004E-7</v>
      </c>
      <c r="O227" s="7">
        <f t="shared" si="39"/>
        <v>722102751.77710021</v>
      </c>
      <c r="P227" s="7">
        <f t="shared" si="44"/>
        <v>2.2787829799481016E+16</v>
      </c>
      <c r="Q227">
        <f t="shared" si="45"/>
        <v>63924012.000000007</v>
      </c>
      <c r="R227">
        <f t="shared" si="46"/>
        <v>46940279400000</v>
      </c>
      <c r="S227" s="1">
        <f t="shared" si="47"/>
        <v>1.9890000000000001E+33</v>
      </c>
      <c r="T227" s="1">
        <f t="shared" si="48"/>
        <v>1.9416618E+33</v>
      </c>
      <c r="U227" s="8">
        <f t="shared" si="40"/>
        <v>2.7572547989289805E-16</v>
      </c>
      <c r="V227" s="11">
        <f t="shared" si="41"/>
        <v>2.2245267332712744E+48</v>
      </c>
      <c r="W227" s="1">
        <f t="shared" si="42"/>
        <v>8.3226721770909226E+47</v>
      </c>
      <c r="X227">
        <f t="shared" si="49"/>
        <v>48.347237629253513</v>
      </c>
      <c r="Y227">
        <f t="shared" si="50"/>
        <v>47.9202627884832</v>
      </c>
      <c r="AA227" s="10">
        <f t="shared" si="51"/>
        <v>722.10275177710025</v>
      </c>
    </row>
    <row r="228" spans="1:27" x14ac:dyDescent="0.25">
      <c r="A228" s="2">
        <v>1</v>
      </c>
      <c r="B228" s="2">
        <v>8.8772500000000001</v>
      </c>
      <c r="C228" s="6">
        <v>3.7469454096151047</v>
      </c>
      <c r="D228" s="2">
        <v>-0.13200000000000001</v>
      </c>
      <c r="E228" s="2">
        <v>4511</v>
      </c>
      <c r="F228" s="2">
        <v>9.19E-4</v>
      </c>
      <c r="G228" s="2">
        <v>-0.51429999999999998</v>
      </c>
      <c r="H228" s="2">
        <v>7.1340000000000003</v>
      </c>
      <c r="I228" s="2">
        <v>19395</v>
      </c>
      <c r="J228" s="2">
        <v>0.97619999999999996</v>
      </c>
      <c r="K228" s="2">
        <v>674.4</v>
      </c>
      <c r="L228" s="2">
        <v>0.1024</v>
      </c>
      <c r="M228" s="2">
        <v>0.27360000000000001</v>
      </c>
      <c r="N228">
        <f t="shared" si="43"/>
        <v>9.1900000000000001E-7</v>
      </c>
      <c r="O228" s="7">
        <f t="shared" si="39"/>
        <v>753789354.89956784</v>
      </c>
      <c r="P228" s="7">
        <f t="shared" si="44"/>
        <v>2.3787782946178604E+16</v>
      </c>
      <c r="Q228">
        <f t="shared" si="45"/>
        <v>63993646.000000007</v>
      </c>
      <c r="R228">
        <f t="shared" si="46"/>
        <v>46961169600000</v>
      </c>
      <c r="S228" s="1">
        <f t="shared" si="47"/>
        <v>1.9890000000000001E+33</v>
      </c>
      <c r="T228" s="1">
        <f t="shared" si="48"/>
        <v>1.9416618E+33</v>
      </c>
      <c r="U228" s="8">
        <f t="shared" si="40"/>
        <v>2.6413496883655358E-16</v>
      </c>
      <c r="V228" s="11">
        <f t="shared" si="41"/>
        <v>2.2285613037881668E+48</v>
      </c>
      <c r="W228" s="1">
        <f t="shared" si="42"/>
        <v>8.3408142364001583E+47</v>
      </c>
      <c r="X228">
        <f t="shared" si="49"/>
        <v>48.3480245852612</v>
      </c>
      <c r="Y228">
        <f t="shared" si="50"/>
        <v>47.921208448852937</v>
      </c>
      <c r="AA228" s="10">
        <f t="shared" si="51"/>
        <v>753.7893548995678</v>
      </c>
    </row>
    <row r="229" spans="1:27" x14ac:dyDescent="0.25">
      <c r="A229" s="2">
        <v>1</v>
      </c>
      <c r="B229" s="2">
        <v>8.8951340000000005</v>
      </c>
      <c r="C229" s="6">
        <v>3.7470231774516281</v>
      </c>
      <c r="D229" s="2">
        <v>-0.13100000000000001</v>
      </c>
      <c r="E229" s="2">
        <v>4511</v>
      </c>
      <c r="F229" s="2">
        <v>9.19E-4</v>
      </c>
      <c r="G229" s="2">
        <v>-0.51429999999999998</v>
      </c>
      <c r="H229" s="2">
        <v>7.1340000000000003</v>
      </c>
      <c r="I229" s="2">
        <v>19409</v>
      </c>
      <c r="J229" s="2">
        <v>0.97619999999999996</v>
      </c>
      <c r="K229" s="2">
        <v>674.7</v>
      </c>
      <c r="L229" s="2">
        <v>0.1024</v>
      </c>
      <c r="M229" s="2">
        <v>0.27339999999999998</v>
      </c>
      <c r="N229">
        <f t="shared" si="43"/>
        <v>9.1900000000000001E-7</v>
      </c>
      <c r="O229" s="7">
        <f t="shared" si="39"/>
        <v>785477953.62162554</v>
      </c>
      <c r="P229" s="7">
        <f t="shared" si="44"/>
        <v>2.4787799069209812E+16</v>
      </c>
      <c r="Q229">
        <f t="shared" si="45"/>
        <v>63993646.000000007</v>
      </c>
      <c r="R229">
        <f t="shared" si="46"/>
        <v>46982059800000.008</v>
      </c>
      <c r="S229" s="1">
        <f t="shared" si="47"/>
        <v>1.9890000000000001E+33</v>
      </c>
      <c r="T229" s="1">
        <f t="shared" si="48"/>
        <v>1.9416618E+33</v>
      </c>
      <c r="U229" s="8">
        <f t="shared" si="40"/>
        <v>2.5347895106121989E-16</v>
      </c>
      <c r="V229" s="11">
        <f t="shared" si="41"/>
        <v>2.2269322385076199E+48</v>
      </c>
      <c r="W229" s="1">
        <f t="shared" si="42"/>
        <v>8.3408142364001583E+47</v>
      </c>
      <c r="X229">
        <f t="shared" si="49"/>
        <v>48.347707002444928</v>
      </c>
      <c r="Y229">
        <f t="shared" si="50"/>
        <v>47.921208448852937</v>
      </c>
      <c r="AA229" s="10">
        <f t="shared" si="51"/>
        <v>785.47795362162549</v>
      </c>
    </row>
    <row r="230" spans="1:27" x14ac:dyDescent="0.25">
      <c r="A230" s="2">
        <v>1</v>
      </c>
      <c r="B230" s="2">
        <v>8.9123099999999997</v>
      </c>
      <c r="C230" s="6">
        <v>3.7471009313649861</v>
      </c>
      <c r="D230" s="2">
        <v>-0.13</v>
      </c>
      <c r="E230" s="2">
        <v>4510</v>
      </c>
      <c r="F230" s="2">
        <v>9.2000000000000003E-4</v>
      </c>
      <c r="G230" s="2">
        <v>-0.51429999999999998</v>
      </c>
      <c r="H230" s="2">
        <v>7.1340000000000003</v>
      </c>
      <c r="I230" s="2">
        <v>19424</v>
      </c>
      <c r="J230" s="2">
        <v>0.97619999999999996</v>
      </c>
      <c r="K230" s="2">
        <v>675</v>
      </c>
      <c r="L230" s="2">
        <v>0.1024</v>
      </c>
      <c r="M230" s="2">
        <v>0.2732</v>
      </c>
      <c r="N230">
        <f t="shared" si="43"/>
        <v>9.1999999999999998E-7</v>
      </c>
      <c r="O230" s="7">
        <f t="shared" si="39"/>
        <v>817165457.06012857</v>
      </c>
      <c r="P230" s="7">
        <f t="shared" si="44"/>
        <v>2.5787780627720712E+16</v>
      </c>
      <c r="Q230">
        <f t="shared" si="45"/>
        <v>64063280</v>
      </c>
      <c r="R230">
        <f t="shared" si="46"/>
        <v>47002950000000</v>
      </c>
      <c r="S230" s="1">
        <f t="shared" si="47"/>
        <v>1.9890000000000001E+33</v>
      </c>
      <c r="T230" s="1">
        <f t="shared" si="48"/>
        <v>1.9416618E+33</v>
      </c>
      <c r="U230" s="8">
        <f t="shared" si="40"/>
        <v>2.4364971138405925E-16</v>
      </c>
      <c r="V230" s="11">
        <f t="shared" si="41"/>
        <v>2.2301486876843641E+48</v>
      </c>
      <c r="W230" s="1">
        <f t="shared" si="42"/>
        <v>8.3589760475431517E+47</v>
      </c>
      <c r="X230">
        <f t="shared" si="49"/>
        <v>48.348333819141509</v>
      </c>
      <c r="Y230">
        <f t="shared" si="50"/>
        <v>47.922153080771821</v>
      </c>
      <c r="AA230" s="10">
        <f t="shared" si="51"/>
        <v>817.16545706012857</v>
      </c>
    </row>
    <row r="231" spans="1:27" x14ac:dyDescent="0.25">
      <c r="A231" s="2">
        <v>1</v>
      </c>
      <c r="B231" s="2">
        <v>8.9288329999999991</v>
      </c>
      <c r="C231" s="6">
        <v>3.7471786713601642</v>
      </c>
      <c r="D231" s="2">
        <v>-0.13</v>
      </c>
      <c r="E231" s="2">
        <v>4510</v>
      </c>
      <c r="F231" s="2">
        <v>9.2000000000000003E-4</v>
      </c>
      <c r="G231" s="2">
        <v>-0.51429999999999998</v>
      </c>
      <c r="H231" s="2">
        <v>7.1349999999999998</v>
      </c>
      <c r="I231" s="2">
        <v>19439</v>
      </c>
      <c r="J231" s="2">
        <v>0.97619999999999996</v>
      </c>
      <c r="K231" s="2">
        <v>675.2</v>
      </c>
      <c r="L231" s="2">
        <v>0.1023</v>
      </c>
      <c r="M231" s="2">
        <v>0.27300000000000002</v>
      </c>
      <c r="N231">
        <f t="shared" si="43"/>
        <v>9.1999999999999998E-7</v>
      </c>
      <c r="O231" s="7">
        <f t="shared" si="39"/>
        <v>848854000.98953331</v>
      </c>
      <c r="P231" s="7">
        <f t="shared" si="44"/>
        <v>2.6787795021627296E+16</v>
      </c>
      <c r="Q231">
        <f t="shared" si="45"/>
        <v>64063280</v>
      </c>
      <c r="R231">
        <f t="shared" si="46"/>
        <v>47016876800000</v>
      </c>
      <c r="S231" s="1">
        <f t="shared" si="47"/>
        <v>1.9890000000000001E+33</v>
      </c>
      <c r="T231" s="1">
        <f t="shared" si="48"/>
        <v>1.9416618E+33</v>
      </c>
      <c r="U231" s="8">
        <f t="shared" si="40"/>
        <v>2.3455403112151699E-16</v>
      </c>
      <c r="V231" s="11">
        <f t="shared" si="41"/>
        <v>2.2285160751750785E+48</v>
      </c>
      <c r="W231" s="1">
        <f t="shared" si="42"/>
        <v>8.350812984996722E+47</v>
      </c>
      <c r="X231">
        <f t="shared" si="49"/>
        <v>48.348015771172768</v>
      </c>
      <c r="Y231">
        <f t="shared" si="50"/>
        <v>47.921728757844171</v>
      </c>
      <c r="AA231" s="10">
        <f t="shared" si="51"/>
        <v>848.85400098953335</v>
      </c>
    </row>
    <row r="232" spans="1:27" x14ac:dyDescent="0.25">
      <c r="A232" s="2">
        <v>1</v>
      </c>
      <c r="B232" s="2">
        <v>8.9447500000000009</v>
      </c>
      <c r="C232" s="6">
        <v>3.7472563974421442</v>
      </c>
      <c r="D232" s="2">
        <v>-0.129</v>
      </c>
      <c r="E232" s="2">
        <v>4509</v>
      </c>
      <c r="F232" s="2">
        <v>9.2100000000000005E-4</v>
      </c>
      <c r="G232" s="2">
        <v>-0.51429999999999998</v>
      </c>
      <c r="H232" s="2">
        <v>7.1349999999999998</v>
      </c>
      <c r="I232" s="2">
        <v>19454</v>
      </c>
      <c r="J232" s="2">
        <v>0.97619999999999996</v>
      </c>
      <c r="K232" s="2">
        <v>675.5</v>
      </c>
      <c r="L232" s="2">
        <v>0.1023</v>
      </c>
      <c r="M232" s="2">
        <v>0.27289999999999998</v>
      </c>
      <c r="N232">
        <f t="shared" si="43"/>
        <v>9.2100000000000005E-7</v>
      </c>
      <c r="O232" s="7">
        <f t="shared" si="39"/>
        <v>880541846.45569456</v>
      </c>
      <c r="P232" s="7">
        <f t="shared" si="44"/>
        <v>2.7787787373710228E+16</v>
      </c>
      <c r="Q232">
        <f t="shared" si="45"/>
        <v>64132914.000000007</v>
      </c>
      <c r="R232">
        <f t="shared" si="46"/>
        <v>47037767000000</v>
      </c>
      <c r="S232" s="1">
        <f t="shared" si="47"/>
        <v>1.9890000000000001E+33</v>
      </c>
      <c r="T232" s="1">
        <f t="shared" si="48"/>
        <v>1.9416618E+33</v>
      </c>
      <c r="U232" s="8">
        <f t="shared" si="40"/>
        <v>2.2611319219766487E-16</v>
      </c>
      <c r="V232" s="11">
        <f t="shared" si="41"/>
        <v>2.2325452264754719E+48</v>
      </c>
      <c r="W232" s="1">
        <f t="shared" si="42"/>
        <v>8.3689767925408867E+47</v>
      </c>
      <c r="X232">
        <f t="shared" si="49"/>
        <v>48.348800265504494</v>
      </c>
      <c r="Y232">
        <f t="shared" si="50"/>
        <v>47.922672363546759</v>
      </c>
      <c r="AA232" s="10">
        <f t="shared" si="51"/>
        <v>880.54184645569455</v>
      </c>
    </row>
    <row r="233" spans="1:27" x14ac:dyDescent="0.25">
      <c r="A233" s="2">
        <v>1</v>
      </c>
      <c r="B233" s="2">
        <v>8.9601050000000004</v>
      </c>
      <c r="C233" s="6">
        <v>3.7473341096159052</v>
      </c>
      <c r="D233" s="2">
        <v>-0.128</v>
      </c>
      <c r="E233" s="2">
        <v>4509</v>
      </c>
      <c r="F233" s="2">
        <v>9.2200000000000008E-4</v>
      </c>
      <c r="G233" s="2">
        <v>-0.51429999999999998</v>
      </c>
      <c r="H233" s="2">
        <v>7.1349999999999998</v>
      </c>
      <c r="I233" s="2">
        <v>19469</v>
      </c>
      <c r="J233" s="2">
        <v>0.97619999999999996</v>
      </c>
      <c r="K233" s="2">
        <v>675.8</v>
      </c>
      <c r="L233" s="2">
        <v>0.1023</v>
      </c>
      <c r="M233" s="2">
        <v>0.2727</v>
      </c>
      <c r="N233">
        <f t="shared" si="43"/>
        <v>9.2200000000000002E-7</v>
      </c>
      <c r="O233" s="7">
        <f t="shared" si="39"/>
        <v>912231364.1822933</v>
      </c>
      <c r="P233" s="7">
        <f t="shared" si="44"/>
        <v>2.878783249831914E+16</v>
      </c>
      <c r="Q233">
        <f t="shared" si="45"/>
        <v>64202548.000000007</v>
      </c>
      <c r="R233">
        <f t="shared" si="46"/>
        <v>47058657200000</v>
      </c>
      <c r="S233" s="1">
        <f t="shared" si="47"/>
        <v>1.9890000000000001E+33</v>
      </c>
      <c r="T233" s="1">
        <f t="shared" si="48"/>
        <v>1.9416618E+33</v>
      </c>
      <c r="U233" s="8">
        <f t="shared" si="40"/>
        <v>2.1825836688282968E-16</v>
      </c>
      <c r="V233" s="11">
        <f t="shared" si="41"/>
        <v>2.2357562294312573E+48</v>
      </c>
      <c r="W233" s="1">
        <f t="shared" si="42"/>
        <v>8.38716033262991E+47</v>
      </c>
      <c r="X233">
        <f t="shared" si="49"/>
        <v>48.349424449489788</v>
      </c>
      <c r="Y233">
        <f t="shared" si="50"/>
        <v>47.923614945260319</v>
      </c>
      <c r="AA233" s="10">
        <f t="shared" si="51"/>
        <v>912.23136418229331</v>
      </c>
    </row>
    <row r="234" spans="1:27" x14ac:dyDescent="0.25">
      <c r="A234" s="2">
        <v>1</v>
      </c>
      <c r="B234" s="2">
        <v>8.9749350000000003</v>
      </c>
      <c r="C234" s="6">
        <v>3.7474118078864231</v>
      </c>
      <c r="D234" s="2">
        <v>-0.127</v>
      </c>
      <c r="E234" s="2">
        <v>4508</v>
      </c>
      <c r="F234" s="2">
        <v>9.2200000000000008E-4</v>
      </c>
      <c r="G234" s="2">
        <v>-0.51429999999999998</v>
      </c>
      <c r="H234" s="2">
        <v>7.1360000000000001</v>
      </c>
      <c r="I234" s="2">
        <v>19483</v>
      </c>
      <c r="J234" s="2">
        <v>0.97619999999999996</v>
      </c>
      <c r="K234" s="2">
        <v>676.1</v>
      </c>
      <c r="L234" s="2">
        <v>0.1023</v>
      </c>
      <c r="M234" s="2">
        <v>0.27260000000000001</v>
      </c>
      <c r="N234">
        <f t="shared" si="43"/>
        <v>9.2200000000000002E-7</v>
      </c>
      <c r="O234" s="7">
        <f t="shared" si="39"/>
        <v>943919591.12658453</v>
      </c>
      <c r="P234" s="7">
        <f t="shared" si="44"/>
        <v>2.9787836888936304E+16</v>
      </c>
      <c r="Q234">
        <f t="shared" si="45"/>
        <v>64202548.000000007</v>
      </c>
      <c r="R234">
        <f t="shared" si="46"/>
        <v>47079547400000</v>
      </c>
      <c r="S234" s="1">
        <f t="shared" si="47"/>
        <v>1.9890000000000001E+33</v>
      </c>
      <c r="T234" s="1">
        <f t="shared" si="48"/>
        <v>1.9416618E+33</v>
      </c>
      <c r="U234" s="8">
        <f t="shared" si="40"/>
        <v>2.1093123782725106E-16</v>
      </c>
      <c r="V234" s="11">
        <f t="shared" si="41"/>
        <v>2.2349363701612055E+48</v>
      </c>
      <c r="W234" s="1">
        <f t="shared" si="42"/>
        <v>8.38716033262991E+47</v>
      </c>
      <c r="X234">
        <f t="shared" si="49"/>
        <v>48.349265163046816</v>
      </c>
      <c r="Y234">
        <f t="shared" si="50"/>
        <v>47.923614945260319</v>
      </c>
      <c r="AA234" s="10">
        <f t="shared" si="51"/>
        <v>943.91959112658458</v>
      </c>
    </row>
    <row r="235" spans="1:27" x14ac:dyDescent="0.25">
      <c r="A235" s="2">
        <v>1</v>
      </c>
      <c r="B235" s="2">
        <v>8.9892749999999992</v>
      </c>
      <c r="C235" s="6">
        <v>3.7474894922586728</v>
      </c>
      <c r="D235" s="2">
        <v>-0.126</v>
      </c>
      <c r="E235" s="2">
        <v>4507</v>
      </c>
      <c r="F235" s="2">
        <v>9.2299999999999999E-4</v>
      </c>
      <c r="G235" s="2">
        <v>-0.51429999999999998</v>
      </c>
      <c r="H235" s="2">
        <v>7.1360000000000001</v>
      </c>
      <c r="I235" s="2">
        <v>19498</v>
      </c>
      <c r="J235" s="2">
        <v>0.97619999999999996</v>
      </c>
      <c r="K235" s="2">
        <v>676.4</v>
      </c>
      <c r="L235" s="2">
        <v>0.1023</v>
      </c>
      <c r="M235" s="2">
        <v>0.27239999999999998</v>
      </c>
      <c r="N235">
        <f t="shared" si="43"/>
        <v>9.2299999999999999E-7</v>
      </c>
      <c r="O235" s="7">
        <f t="shared" si="39"/>
        <v>975607207.28919256</v>
      </c>
      <c r="P235" s="7">
        <f t="shared" si="44"/>
        <v>3.0787822004749424E+16</v>
      </c>
      <c r="Q235">
        <f t="shared" si="45"/>
        <v>64272182</v>
      </c>
      <c r="R235">
        <f t="shared" si="46"/>
        <v>47100437599999.992</v>
      </c>
      <c r="S235" s="1">
        <f t="shared" si="47"/>
        <v>1.9890000000000001E+33</v>
      </c>
      <c r="T235" s="1">
        <f t="shared" si="48"/>
        <v>1.9416618E+33</v>
      </c>
      <c r="U235" s="8">
        <f t="shared" si="40"/>
        <v>2.040802141252578E-16</v>
      </c>
      <c r="V235" s="11">
        <f t="shared" si="41"/>
        <v>2.2381437400526456E+48</v>
      </c>
      <c r="W235" s="1">
        <f t="shared" si="42"/>
        <v>8.4053636052637901E+47</v>
      </c>
      <c r="X235">
        <f t="shared" si="49"/>
        <v>48.349887974733477</v>
      </c>
      <c r="Y235">
        <f t="shared" si="50"/>
        <v>47.924556505204883</v>
      </c>
      <c r="AA235" s="10">
        <f t="shared" si="51"/>
        <v>975.6072072891925</v>
      </c>
    </row>
    <row r="236" spans="1:27" x14ac:dyDescent="0.25">
      <c r="A236" s="2">
        <v>1</v>
      </c>
      <c r="B236" s="2">
        <v>9.0031549999999996</v>
      </c>
      <c r="C236" s="6">
        <v>3.7475671627376248</v>
      </c>
      <c r="D236" s="2">
        <v>-0.125</v>
      </c>
      <c r="E236" s="2">
        <v>4507</v>
      </c>
      <c r="F236" s="2">
        <v>9.2299999999999999E-4</v>
      </c>
      <c r="G236" s="2">
        <v>-0.51429999999999998</v>
      </c>
      <c r="H236" s="2">
        <v>7.1360000000000001</v>
      </c>
      <c r="I236" s="2">
        <v>19513</v>
      </c>
      <c r="J236" s="2">
        <v>0.97619999999999996</v>
      </c>
      <c r="K236" s="2">
        <v>676.7</v>
      </c>
      <c r="L236" s="2">
        <v>0.1023</v>
      </c>
      <c r="M236" s="2">
        <v>0.2722</v>
      </c>
      <c r="N236">
        <f t="shared" si="43"/>
        <v>9.2299999999999999E-7</v>
      </c>
      <c r="O236" s="7">
        <f t="shared" si="39"/>
        <v>1007291107.5967648</v>
      </c>
      <c r="P236" s="7">
        <f t="shared" si="44"/>
        <v>3.1787689857095664E+16</v>
      </c>
      <c r="Q236">
        <f t="shared" si="45"/>
        <v>64272182</v>
      </c>
      <c r="R236">
        <f t="shared" si="46"/>
        <v>47121327800000</v>
      </c>
      <c r="S236" s="1">
        <f t="shared" si="47"/>
        <v>1.9890000000000001E+33</v>
      </c>
      <c r="T236" s="1">
        <f t="shared" si="48"/>
        <v>1.9416618E+33</v>
      </c>
      <c r="U236" s="8">
        <f t="shared" si="40"/>
        <v>1.9766096043550803E-16</v>
      </c>
      <c r="V236" s="11">
        <f t="shared" si="41"/>
        <v>2.2365004627104631E+48</v>
      </c>
      <c r="W236" s="1">
        <f t="shared" si="42"/>
        <v>8.4053636052637901E+47</v>
      </c>
      <c r="X236">
        <f t="shared" si="49"/>
        <v>48.349568992360041</v>
      </c>
      <c r="Y236">
        <f t="shared" si="50"/>
        <v>47.924556505204883</v>
      </c>
      <c r="AA236" s="10">
        <f t="shared" si="51"/>
        <v>1007.2911075967648</v>
      </c>
    </row>
    <row r="237" spans="1:27" x14ac:dyDescent="0.25">
      <c r="A237" s="2">
        <v>1</v>
      </c>
      <c r="B237" s="2">
        <v>9.0166070000000005</v>
      </c>
      <c r="C237" s="6">
        <v>3.7476448193282481</v>
      </c>
      <c r="D237" s="2">
        <v>-0.124</v>
      </c>
      <c r="E237" s="2">
        <v>4506</v>
      </c>
      <c r="F237" s="2">
        <v>9.2400000000000002E-4</v>
      </c>
      <c r="G237" s="2">
        <v>-0.51429999999999998</v>
      </c>
      <c r="H237" s="2">
        <v>7.1360000000000001</v>
      </c>
      <c r="I237" s="2">
        <v>19528</v>
      </c>
      <c r="J237" s="2">
        <v>0.97619999999999996</v>
      </c>
      <c r="K237" s="2">
        <v>677</v>
      </c>
      <c r="L237" s="2">
        <v>0.1023</v>
      </c>
      <c r="M237" s="2">
        <v>0.27200000000000002</v>
      </c>
      <c r="N237">
        <f t="shared" si="43"/>
        <v>9.2400000000000007E-7</v>
      </c>
      <c r="O237" s="7">
        <f t="shared" si="39"/>
        <v>1038979551.1458665</v>
      </c>
      <c r="P237" s="7">
        <f t="shared" si="44"/>
        <v>3.2787701083240796E+16</v>
      </c>
      <c r="Q237">
        <f t="shared" si="45"/>
        <v>64341816</v>
      </c>
      <c r="R237">
        <f t="shared" si="46"/>
        <v>47142218000000</v>
      </c>
      <c r="S237" s="1">
        <f t="shared" si="47"/>
        <v>1.9890000000000001E+33</v>
      </c>
      <c r="T237" s="1">
        <f t="shared" si="48"/>
        <v>1.9416618E+33</v>
      </c>
      <c r="U237" s="8">
        <f t="shared" si="40"/>
        <v>1.9163238347293559E-16</v>
      </c>
      <c r="V237" s="11">
        <f t="shared" si="41"/>
        <v>2.23970240277651E+48</v>
      </c>
      <c r="W237" s="1">
        <f t="shared" si="42"/>
        <v>8.4235866104425351E+47</v>
      </c>
      <c r="X237">
        <f t="shared" si="49"/>
        <v>48.350190315915313</v>
      </c>
      <c r="Y237">
        <f t="shared" si="50"/>
        <v>47.925497045593275</v>
      </c>
      <c r="AA237" s="10">
        <f t="shared" si="51"/>
        <v>1038.9795511458665</v>
      </c>
    </row>
    <row r="238" spans="1:27" x14ac:dyDescent="0.25">
      <c r="A238" s="2">
        <v>1</v>
      </c>
      <c r="B238" s="2">
        <v>9.0296559999999992</v>
      </c>
      <c r="C238" s="6">
        <v>3.7477224620355085</v>
      </c>
      <c r="D238" s="2">
        <v>-0.123</v>
      </c>
      <c r="E238" s="2">
        <v>4506</v>
      </c>
      <c r="F238" s="2">
        <v>9.2500000000000004E-4</v>
      </c>
      <c r="G238" s="2">
        <v>-0.51429999999999998</v>
      </c>
      <c r="H238" s="2">
        <v>7.1369999999999996</v>
      </c>
      <c r="I238" s="2">
        <v>19543</v>
      </c>
      <c r="J238" s="2">
        <v>0.97619999999999996</v>
      </c>
      <c r="K238" s="2">
        <v>677.2</v>
      </c>
      <c r="L238" s="2">
        <v>0.1022</v>
      </c>
      <c r="M238" s="2">
        <v>0.27179999999999999</v>
      </c>
      <c r="N238">
        <f t="shared" si="43"/>
        <v>9.2500000000000004E-7</v>
      </c>
      <c r="O238" s="7">
        <f t="shared" si="39"/>
        <v>1070670902.3409711</v>
      </c>
      <c r="P238" s="7">
        <f t="shared" si="44"/>
        <v>3.3787804067715428E+16</v>
      </c>
      <c r="Q238">
        <f t="shared" si="45"/>
        <v>64411450.000000007</v>
      </c>
      <c r="R238">
        <f t="shared" si="46"/>
        <v>47156144800000</v>
      </c>
      <c r="S238" s="1">
        <f t="shared" si="47"/>
        <v>1.9890000000000001E+33</v>
      </c>
      <c r="T238" s="1">
        <f t="shared" si="48"/>
        <v>1.9416618E+33</v>
      </c>
      <c r="U238" s="8">
        <f t="shared" si="40"/>
        <v>1.8596015575878252E-16</v>
      </c>
      <c r="V238" s="11">
        <f t="shared" si="41"/>
        <v>2.2429024602459013E+48</v>
      </c>
      <c r="W238" s="1">
        <f t="shared" si="42"/>
        <v>8.4335773155677383E+47</v>
      </c>
      <c r="X238">
        <f t="shared" si="49"/>
        <v>48.350810387315441</v>
      </c>
      <c r="Y238">
        <f t="shared" si="50"/>
        <v>47.926011830717663</v>
      </c>
      <c r="AA238" s="10">
        <f t="shared" si="51"/>
        <v>1070.6709023409712</v>
      </c>
    </row>
    <row r="239" spans="1:27" x14ac:dyDescent="0.25">
      <c r="A239" s="2">
        <v>1</v>
      </c>
      <c r="B239" s="2">
        <v>9.0423229999999997</v>
      </c>
      <c r="C239" s="6">
        <v>3.7478000908643687</v>
      </c>
      <c r="D239" s="2">
        <v>-0.122</v>
      </c>
      <c r="E239" s="2">
        <v>4505</v>
      </c>
      <c r="F239" s="2">
        <v>9.2500000000000004E-4</v>
      </c>
      <c r="G239" s="2">
        <v>-0.51429999999999998</v>
      </c>
      <c r="H239" s="2">
        <v>7.1369999999999996</v>
      </c>
      <c r="I239" s="2">
        <v>19558</v>
      </c>
      <c r="J239" s="2">
        <v>0.97619999999999996</v>
      </c>
      <c r="K239" s="2">
        <v>677.5</v>
      </c>
      <c r="L239" s="2">
        <v>0.1022</v>
      </c>
      <c r="M239" s="2">
        <v>0.2717</v>
      </c>
      <c r="N239">
        <f t="shared" si="43"/>
        <v>9.2500000000000004E-7</v>
      </c>
      <c r="O239" s="7">
        <f t="shared" si="39"/>
        <v>1102358867.5925338</v>
      </c>
      <c r="P239" s="7">
        <f t="shared" si="44"/>
        <v>3.4787800199938144E+16</v>
      </c>
      <c r="Q239">
        <f t="shared" si="45"/>
        <v>64411450.000000007</v>
      </c>
      <c r="R239">
        <f t="shared" si="46"/>
        <v>47177035000000</v>
      </c>
      <c r="S239" s="1">
        <f t="shared" si="47"/>
        <v>1.9890000000000001E+33</v>
      </c>
      <c r="T239" s="1">
        <f t="shared" si="48"/>
        <v>1.9416618E+33</v>
      </c>
      <c r="U239" s="8">
        <f t="shared" si="40"/>
        <v>1.8061461981119341E-16</v>
      </c>
      <c r="V239" s="11">
        <f t="shared" si="41"/>
        <v>2.2420772569860609E+48</v>
      </c>
      <c r="W239" s="1">
        <f t="shared" si="42"/>
        <v>8.4335773155677383E+47</v>
      </c>
      <c r="X239">
        <f t="shared" si="49"/>
        <v>48.350650573336857</v>
      </c>
      <c r="Y239">
        <f t="shared" si="50"/>
        <v>47.926011830717663</v>
      </c>
      <c r="AA239" s="10">
        <f t="shared" si="51"/>
        <v>1102.3588675925339</v>
      </c>
    </row>
    <row r="240" spans="1:27" x14ac:dyDescent="0.25">
      <c r="A240" s="2">
        <v>1</v>
      </c>
      <c r="B240" s="2">
        <v>9.0546319999999998</v>
      </c>
      <c r="C240" s="6">
        <v>3.74795530690673</v>
      </c>
      <c r="D240" s="2">
        <v>-0.122</v>
      </c>
      <c r="E240" s="2">
        <v>4505</v>
      </c>
      <c r="F240" s="2">
        <v>9.2600000000000007E-4</v>
      </c>
      <c r="G240" s="2">
        <v>-0.51429999999999998</v>
      </c>
      <c r="H240" s="2">
        <v>7.1379999999999999</v>
      </c>
      <c r="I240" s="2">
        <v>19574</v>
      </c>
      <c r="J240" s="2">
        <v>0.97619999999999996</v>
      </c>
      <c r="K240" s="2">
        <v>677.7</v>
      </c>
      <c r="L240" s="2">
        <v>0.1022</v>
      </c>
      <c r="M240" s="2">
        <v>0.27150000000000002</v>
      </c>
      <c r="N240">
        <f t="shared" si="43"/>
        <v>9.2600000000000011E-7</v>
      </c>
      <c r="O240" s="7">
        <f t="shared" si="39"/>
        <v>1134049470.1222277</v>
      </c>
      <c r="P240" s="7">
        <f t="shared" si="44"/>
        <v>3.5787879558329212E+16</v>
      </c>
      <c r="Q240">
        <f t="shared" si="45"/>
        <v>64481084</v>
      </c>
      <c r="R240">
        <f t="shared" si="46"/>
        <v>47190961800000.008</v>
      </c>
      <c r="S240" s="1">
        <f t="shared" si="47"/>
        <v>1.9890000000000001E+33</v>
      </c>
      <c r="T240" s="1">
        <f t="shared" si="48"/>
        <v>1.9416618E+33</v>
      </c>
      <c r="U240" s="8">
        <f t="shared" si="40"/>
        <v>1.7556740954542663E-16</v>
      </c>
      <c r="V240" s="11">
        <f t="shared" si="41"/>
        <v>2.2452736350977469E+48</v>
      </c>
      <c r="W240" s="1">
        <f t="shared" si="42"/>
        <v>8.451821933959106E+47</v>
      </c>
      <c r="X240">
        <f t="shared" si="49"/>
        <v>48.351269276729639</v>
      </c>
      <c r="Y240">
        <f t="shared" si="50"/>
        <v>47.926950338603461</v>
      </c>
      <c r="AA240" s="10">
        <f t="shared" si="51"/>
        <v>1134.0494701222276</v>
      </c>
    </row>
    <row r="241" spans="1:27" x14ac:dyDescent="0.25">
      <c r="A241" s="2">
        <v>1</v>
      </c>
      <c r="B241" s="2">
        <v>9.0666019999999996</v>
      </c>
      <c r="C241" s="6">
        <v>3.7480328941301435</v>
      </c>
      <c r="D241" s="2">
        <v>-0.121</v>
      </c>
      <c r="E241" s="2">
        <v>4504</v>
      </c>
      <c r="F241" s="2">
        <v>9.2600000000000007E-4</v>
      </c>
      <c r="G241" s="2">
        <v>-0.51429999999999998</v>
      </c>
      <c r="H241" s="2">
        <v>7.1379999999999999</v>
      </c>
      <c r="I241" s="2">
        <v>19589</v>
      </c>
      <c r="J241" s="2">
        <v>0.97619999999999996</v>
      </c>
      <c r="K241" s="2">
        <v>678</v>
      </c>
      <c r="L241" s="2">
        <v>0.1022</v>
      </c>
      <c r="M241" s="2">
        <v>0.27129999999999999</v>
      </c>
      <c r="N241">
        <f t="shared" si="43"/>
        <v>9.2600000000000011E-7</v>
      </c>
      <c r="O241" s="7">
        <f t="shared" si="39"/>
        <v>1165740808.8637266</v>
      </c>
      <c r="P241" s="7">
        <f t="shared" si="44"/>
        <v>3.6787982149797936E+16</v>
      </c>
      <c r="Q241">
        <f t="shared" si="45"/>
        <v>64481084</v>
      </c>
      <c r="R241">
        <f t="shared" si="46"/>
        <v>47211852000000</v>
      </c>
      <c r="S241" s="1">
        <f t="shared" si="47"/>
        <v>1.9890000000000001E+33</v>
      </c>
      <c r="T241" s="1">
        <f t="shared" si="48"/>
        <v>1.9416618E+33</v>
      </c>
      <c r="U241" s="8">
        <f t="shared" si="40"/>
        <v>1.7079450788018004E-16</v>
      </c>
      <c r="V241" s="11">
        <f t="shared" si="41"/>
        <v>2.2436196582026474E+48</v>
      </c>
      <c r="W241" s="1">
        <f t="shared" si="42"/>
        <v>8.451821933959106E+47</v>
      </c>
      <c r="X241">
        <f t="shared" si="49"/>
        <v>48.350949236566365</v>
      </c>
      <c r="Y241">
        <f t="shared" si="50"/>
        <v>47.926950338603461</v>
      </c>
      <c r="AA241" s="10">
        <f t="shared" si="51"/>
        <v>1165.7408088637267</v>
      </c>
    </row>
    <row r="242" spans="1:27" x14ac:dyDescent="0.25">
      <c r="A242" s="2">
        <v>1</v>
      </c>
      <c r="B242" s="2">
        <v>9.0782469999999993</v>
      </c>
      <c r="C242" s="6">
        <v>3.7481104674949837</v>
      </c>
      <c r="D242" s="2">
        <v>-0.12</v>
      </c>
      <c r="E242" s="2">
        <v>4503</v>
      </c>
      <c r="F242" s="2">
        <v>9.2700000000000009E-4</v>
      </c>
      <c r="G242" s="2">
        <v>-0.51429999999999998</v>
      </c>
      <c r="H242" s="2">
        <v>7.1379999999999999</v>
      </c>
      <c r="I242" s="2">
        <v>19605</v>
      </c>
      <c r="J242" s="2">
        <v>0.97619999999999996</v>
      </c>
      <c r="K242" s="2">
        <v>678.2</v>
      </c>
      <c r="L242" s="2">
        <v>0.1022</v>
      </c>
      <c r="M242" s="2">
        <v>0.27110000000000001</v>
      </c>
      <c r="N242">
        <f t="shared" si="43"/>
        <v>9.2700000000000008E-7</v>
      </c>
      <c r="O242" s="7">
        <f t="shared" si="39"/>
        <v>1197421357.3310544</v>
      </c>
      <c r="P242" s="7">
        <f t="shared" si="44"/>
        <v>3.778774422611048E+16</v>
      </c>
      <c r="Q242">
        <f t="shared" si="45"/>
        <v>64550718.000000007</v>
      </c>
      <c r="R242">
        <f t="shared" si="46"/>
        <v>47225778800000.008</v>
      </c>
      <c r="S242" s="1">
        <f t="shared" si="47"/>
        <v>1.9890000000000001E+33</v>
      </c>
      <c r="T242" s="1">
        <f t="shared" si="48"/>
        <v>1.9416618E+33</v>
      </c>
      <c r="U242" s="8">
        <f t="shared" si="40"/>
        <v>1.6627574457958902E-16</v>
      </c>
      <c r="V242" s="11">
        <f t="shared" si="41"/>
        <v>2.2468105544089095E+48</v>
      </c>
      <c r="W242" s="1">
        <f t="shared" si="42"/>
        <v>8.4700862656064378E+47</v>
      </c>
      <c r="X242">
        <f t="shared" si="49"/>
        <v>48.351566455310383</v>
      </c>
      <c r="Y242">
        <f t="shared" si="50"/>
        <v>47.927887833528587</v>
      </c>
      <c r="AA242" s="10">
        <f t="shared" si="51"/>
        <v>1197.4213573310544</v>
      </c>
    </row>
    <row r="243" spans="1:27" x14ac:dyDescent="0.25">
      <c r="A243" s="2">
        <v>1</v>
      </c>
      <c r="B243" s="2">
        <v>9.0895910000000004</v>
      </c>
      <c r="C243" s="6">
        <v>3.7481880270062002</v>
      </c>
      <c r="D243" s="2">
        <v>-0.11899999999999999</v>
      </c>
      <c r="E243" s="2">
        <v>4503</v>
      </c>
      <c r="F243" s="2">
        <v>9.2800000000000001E-4</v>
      </c>
      <c r="G243" s="2">
        <v>-0.51429999999999998</v>
      </c>
      <c r="H243" s="2">
        <v>7.1390000000000002</v>
      </c>
      <c r="I243" s="2">
        <v>19620</v>
      </c>
      <c r="J243" s="2">
        <v>0.97619999999999996</v>
      </c>
      <c r="K243" s="2">
        <v>678.5</v>
      </c>
      <c r="L243" s="2">
        <v>0.1022</v>
      </c>
      <c r="M243" s="2">
        <v>0.27089999999999997</v>
      </c>
      <c r="N243">
        <f t="shared" si="43"/>
        <v>9.2800000000000005E-7</v>
      </c>
      <c r="O243" s="7">
        <f t="shared" si="39"/>
        <v>1229110701.6084361</v>
      </c>
      <c r="P243" s="7">
        <f t="shared" si="44"/>
        <v>3.8787783877078384E+16</v>
      </c>
      <c r="Q243">
        <f t="shared" si="45"/>
        <v>64620352</v>
      </c>
      <c r="R243">
        <f t="shared" si="46"/>
        <v>47246669000000</v>
      </c>
      <c r="S243" s="1">
        <f t="shared" si="47"/>
        <v>1.9890000000000001E+33</v>
      </c>
      <c r="T243" s="1">
        <f t="shared" si="48"/>
        <v>1.9416618E+33</v>
      </c>
      <c r="U243" s="8">
        <f t="shared" si="40"/>
        <v>1.6198876757412869E-16</v>
      </c>
      <c r="V243" s="11">
        <f t="shared" si="41"/>
        <v>2.2499995275118248E+48</v>
      </c>
      <c r="W243" s="1">
        <f t="shared" si="42"/>
        <v>8.488370310509727E+47</v>
      </c>
      <c r="X243">
        <f t="shared" si="49"/>
        <v>48.352182426911796</v>
      </c>
      <c r="Y243">
        <f t="shared" si="50"/>
        <v>47.928824317677318</v>
      </c>
      <c r="AA243" s="10">
        <f t="shared" si="51"/>
        <v>1229.1107016084361</v>
      </c>
    </row>
    <row r="244" spans="1:27" x14ac:dyDescent="0.25">
      <c r="A244" s="2">
        <v>1</v>
      </c>
      <c r="B244" s="2">
        <v>9.1006459999999993</v>
      </c>
      <c r="C244" s="6">
        <v>3.7482655726687408</v>
      </c>
      <c r="D244" s="2">
        <v>-0.11799999999999999</v>
      </c>
      <c r="E244" s="2">
        <v>4502</v>
      </c>
      <c r="F244" s="2">
        <v>9.2800000000000001E-4</v>
      </c>
      <c r="G244" s="2">
        <v>-0.51429999999999998</v>
      </c>
      <c r="H244" s="2">
        <v>7.1390000000000002</v>
      </c>
      <c r="I244" s="2">
        <v>19636</v>
      </c>
      <c r="J244" s="2">
        <v>0.97619999999999996</v>
      </c>
      <c r="K244" s="2">
        <v>678.8</v>
      </c>
      <c r="L244" s="2">
        <v>0.1021</v>
      </c>
      <c r="M244" s="2">
        <v>0.2707</v>
      </c>
      <c r="N244">
        <f t="shared" si="43"/>
        <v>9.2800000000000005E-7</v>
      </c>
      <c r="O244" s="7">
        <f t="shared" si="39"/>
        <v>1260799418.9579341</v>
      </c>
      <c r="P244" s="7">
        <f t="shared" si="44"/>
        <v>3.9787803743706904E+16</v>
      </c>
      <c r="Q244">
        <f t="shared" si="45"/>
        <v>64620352</v>
      </c>
      <c r="R244">
        <f t="shared" si="46"/>
        <v>47267559199999.992</v>
      </c>
      <c r="S244" s="1">
        <f t="shared" si="47"/>
        <v>1.9890000000000001E+33</v>
      </c>
      <c r="T244" s="1">
        <f t="shared" si="48"/>
        <v>1.9416618E+33</v>
      </c>
      <c r="U244" s="8">
        <f t="shared" si="40"/>
        <v>1.5791736954501731E-16</v>
      </c>
      <c r="V244" s="11">
        <f t="shared" si="41"/>
        <v>2.2483383982925469E+48</v>
      </c>
      <c r="W244" s="1">
        <f t="shared" si="42"/>
        <v>8.4800646644133363E+47</v>
      </c>
      <c r="X244">
        <f t="shared" si="49"/>
        <v>48.351861677649133</v>
      </c>
      <c r="Y244">
        <f t="shared" si="50"/>
        <v>47.928399163965537</v>
      </c>
      <c r="AA244" s="10">
        <f t="shared" si="51"/>
        <v>1260.7994189579342</v>
      </c>
    </row>
    <row r="245" spans="1:27" x14ac:dyDescent="0.25">
      <c r="A245" s="2">
        <v>1</v>
      </c>
      <c r="B245" s="2">
        <v>9.1114270000000008</v>
      </c>
      <c r="C245" s="6">
        <v>3.7483431044875495</v>
      </c>
      <c r="D245" s="2">
        <v>-0.11700000000000001</v>
      </c>
      <c r="E245" s="2">
        <v>4502</v>
      </c>
      <c r="F245" s="2">
        <v>9.2900000000000003E-4</v>
      </c>
      <c r="G245" s="2">
        <v>-0.51429999999999998</v>
      </c>
      <c r="H245" s="2">
        <v>7.1390000000000002</v>
      </c>
      <c r="I245" s="2">
        <v>19651</v>
      </c>
      <c r="J245" s="2">
        <v>0.97619999999999996</v>
      </c>
      <c r="K245" s="2">
        <v>679</v>
      </c>
      <c r="L245" s="2">
        <v>0.1021</v>
      </c>
      <c r="M245" s="2">
        <v>0.27060000000000001</v>
      </c>
      <c r="N245">
        <f t="shared" si="43"/>
        <v>9.2900000000000002E-7</v>
      </c>
      <c r="O245" s="7">
        <f t="shared" si="39"/>
        <v>1292489429.6636355</v>
      </c>
      <c r="P245" s="7">
        <f t="shared" si="44"/>
        <v>4.0787864425553144E+16</v>
      </c>
      <c r="Q245">
        <f t="shared" si="45"/>
        <v>64689986</v>
      </c>
      <c r="R245">
        <f t="shared" si="46"/>
        <v>47281486000000.008</v>
      </c>
      <c r="S245" s="1">
        <f t="shared" si="47"/>
        <v>1.9890000000000001E+33</v>
      </c>
      <c r="T245" s="1">
        <f t="shared" si="48"/>
        <v>1.9416618E+33</v>
      </c>
      <c r="U245" s="8">
        <f t="shared" si="40"/>
        <v>1.5404545924800221E-16</v>
      </c>
      <c r="V245" s="11">
        <f t="shared" si="41"/>
        <v>2.2523542103540366E+48</v>
      </c>
      <c r="W245" s="1">
        <f t="shared" si="42"/>
        <v>8.4983505128287926E+47</v>
      </c>
      <c r="X245">
        <f t="shared" si="49"/>
        <v>48.352636689689788</v>
      </c>
      <c r="Y245">
        <f t="shared" si="50"/>
        <v>47.929334639515098</v>
      </c>
      <c r="AA245" s="10">
        <f t="shared" si="51"/>
        <v>1292.4894296636355</v>
      </c>
    </row>
    <row r="246" spans="1:27" x14ac:dyDescent="0.25">
      <c r="A246" s="2">
        <v>1</v>
      </c>
      <c r="B246" s="2">
        <v>9.1219470000000005</v>
      </c>
      <c r="C246" s="6">
        <v>3.7484206224675685</v>
      </c>
      <c r="D246" s="2">
        <v>-0.11600000000000001</v>
      </c>
      <c r="E246" s="2">
        <v>4501</v>
      </c>
      <c r="F246" s="2">
        <v>9.3000000000000005E-4</v>
      </c>
      <c r="G246" s="2">
        <v>-0.51429999999999998</v>
      </c>
      <c r="H246" s="2">
        <v>7.14</v>
      </c>
      <c r="I246" s="2">
        <v>19667</v>
      </c>
      <c r="J246" s="2">
        <v>0.97619999999999996</v>
      </c>
      <c r="K246" s="2">
        <v>679.3</v>
      </c>
      <c r="L246" s="2">
        <v>0.1021</v>
      </c>
      <c r="M246" s="2">
        <v>0.27039999999999997</v>
      </c>
      <c r="N246">
        <f t="shared" si="43"/>
        <v>9.300000000000001E-7</v>
      </c>
      <c r="O246" s="7">
        <f t="shared" si="39"/>
        <v>1324179926.3749161</v>
      </c>
      <c r="P246" s="7">
        <f t="shared" si="44"/>
        <v>4.1787940444569048E+16</v>
      </c>
      <c r="Q246">
        <f t="shared" si="45"/>
        <v>64759620</v>
      </c>
      <c r="R246">
        <f t="shared" si="46"/>
        <v>47302376200000</v>
      </c>
      <c r="S246" s="1">
        <f t="shared" si="47"/>
        <v>1.9890000000000001E+33</v>
      </c>
      <c r="T246" s="1">
        <f t="shared" si="48"/>
        <v>1.9416618E+33</v>
      </c>
      <c r="U246" s="8">
        <f t="shared" si="40"/>
        <v>1.5035881740843675E-16</v>
      </c>
      <c r="V246" s="11">
        <f t="shared" si="41"/>
        <v>2.2555375096269714E+48</v>
      </c>
      <c r="W246" s="1">
        <f t="shared" si="42"/>
        <v>8.5166560552113087E+47</v>
      </c>
      <c r="X246">
        <f t="shared" si="49"/>
        <v>48.353250053818371</v>
      </c>
      <c r="Y246">
        <f t="shared" si="50"/>
        <v>47.930269108635684</v>
      </c>
      <c r="AA246" s="10">
        <f t="shared" si="51"/>
        <v>1324.179926374916</v>
      </c>
    </row>
    <row r="247" spans="1:27" x14ac:dyDescent="0.25">
      <c r="A247" s="2">
        <v>1</v>
      </c>
      <c r="B247" s="2">
        <v>9.1322150000000004</v>
      </c>
      <c r="C247" s="6">
        <v>3.7484981266137369</v>
      </c>
      <c r="D247" s="2">
        <v>-0.115</v>
      </c>
      <c r="E247" s="2">
        <v>4500</v>
      </c>
      <c r="F247" s="2">
        <v>9.3000000000000005E-4</v>
      </c>
      <c r="G247" s="2">
        <v>-0.51429999999999998</v>
      </c>
      <c r="H247" s="2">
        <v>7.14</v>
      </c>
      <c r="I247" s="2">
        <v>19683</v>
      </c>
      <c r="J247" s="2">
        <v>0.97619999999999996</v>
      </c>
      <c r="K247" s="2">
        <v>679.5</v>
      </c>
      <c r="L247" s="2">
        <v>0.1021</v>
      </c>
      <c r="M247" s="2">
        <v>0.2702</v>
      </c>
      <c r="N247">
        <f t="shared" si="43"/>
        <v>9.300000000000001E-7</v>
      </c>
      <c r="O247" s="7">
        <f t="shared" si="39"/>
        <v>1355860472.8154175</v>
      </c>
      <c r="P247" s="7">
        <f t="shared" si="44"/>
        <v>4.2787702456919824E+16</v>
      </c>
      <c r="Q247">
        <f t="shared" si="45"/>
        <v>64759620</v>
      </c>
      <c r="R247">
        <f t="shared" si="46"/>
        <v>47316303000000</v>
      </c>
      <c r="S247" s="1">
        <f t="shared" si="47"/>
        <v>1.9890000000000001E+33</v>
      </c>
      <c r="T247" s="1">
        <f t="shared" si="48"/>
        <v>1.9416618E+33</v>
      </c>
      <c r="U247" s="8">
        <f t="shared" si="40"/>
        <v>1.4684558754950022E-16</v>
      </c>
      <c r="V247" s="11">
        <f t="shared" si="41"/>
        <v>2.2538692126523956E+48</v>
      </c>
      <c r="W247" s="1">
        <f t="shared" si="42"/>
        <v>8.5166560552113087E+47</v>
      </c>
      <c r="X247">
        <f t="shared" si="49"/>
        <v>48.352928711234782</v>
      </c>
      <c r="Y247">
        <f t="shared" si="50"/>
        <v>47.930269108635684</v>
      </c>
      <c r="AA247" s="10">
        <f t="shared" si="51"/>
        <v>1355.8604728154176</v>
      </c>
    </row>
    <row r="248" spans="1:27" x14ac:dyDescent="0.25">
      <c r="A248" s="2">
        <v>1</v>
      </c>
      <c r="B248" s="2">
        <v>9.1422489999999996</v>
      </c>
      <c r="C248" s="6">
        <v>3.7485756169309918</v>
      </c>
      <c r="D248" s="2">
        <v>-0.114</v>
      </c>
      <c r="E248" s="2">
        <v>4500</v>
      </c>
      <c r="F248" s="2">
        <v>9.3100000000000008E-4</v>
      </c>
      <c r="G248" s="2">
        <v>-0.51429999999999998</v>
      </c>
      <c r="H248" s="2">
        <v>7.141</v>
      </c>
      <c r="I248" s="2">
        <v>19699</v>
      </c>
      <c r="J248" s="2">
        <v>0.97619999999999996</v>
      </c>
      <c r="K248" s="2">
        <v>679.8</v>
      </c>
      <c r="L248" s="2">
        <v>0.1021</v>
      </c>
      <c r="M248" s="2">
        <v>0.27</v>
      </c>
      <c r="N248">
        <f t="shared" si="43"/>
        <v>9.3100000000000006E-7</v>
      </c>
      <c r="O248" s="7">
        <f t="shared" si="39"/>
        <v>1387551144.5462096</v>
      </c>
      <c r="P248" s="7">
        <f t="shared" si="44"/>
        <v>4.3787783999131464E+16</v>
      </c>
      <c r="Q248">
        <f t="shared" si="45"/>
        <v>64829254.000000007</v>
      </c>
      <c r="R248">
        <f t="shared" si="46"/>
        <v>47337193200000</v>
      </c>
      <c r="S248" s="1">
        <f t="shared" si="47"/>
        <v>1.9890000000000001E+33</v>
      </c>
      <c r="T248" s="1">
        <f t="shared" si="48"/>
        <v>1.9416618E+33</v>
      </c>
      <c r="U248" s="8">
        <f t="shared" si="40"/>
        <v>1.4349173978076199E-16</v>
      </c>
      <c r="V248" s="11">
        <f t="shared" si="41"/>
        <v>2.257046962508756E+48</v>
      </c>
      <c r="W248" s="1">
        <f t="shared" si="42"/>
        <v>8.5349812915608863E+47</v>
      </c>
      <c r="X248">
        <f t="shared" si="49"/>
        <v>48.353540595562578</v>
      </c>
      <c r="Y248">
        <f t="shared" si="50"/>
        <v>47.931202573490495</v>
      </c>
      <c r="AA248" s="10">
        <f t="shared" si="51"/>
        <v>1387.5511445462096</v>
      </c>
    </row>
    <row r="249" spans="1:27" x14ac:dyDescent="0.25">
      <c r="A249" s="2">
        <v>1</v>
      </c>
      <c r="B249" s="2">
        <v>9.152056</v>
      </c>
      <c r="C249" s="6">
        <v>3.7486530934242674</v>
      </c>
      <c r="D249" s="2">
        <v>-0.113</v>
      </c>
      <c r="E249" s="2">
        <v>4499</v>
      </c>
      <c r="F249" s="2">
        <v>9.3100000000000008E-4</v>
      </c>
      <c r="G249" s="2">
        <v>-0.51429999999999998</v>
      </c>
      <c r="H249" s="2">
        <v>7.141</v>
      </c>
      <c r="I249" s="2">
        <v>19715</v>
      </c>
      <c r="J249" s="2">
        <v>0.97619999999999996</v>
      </c>
      <c r="K249" s="2">
        <v>680.1</v>
      </c>
      <c r="L249" s="2">
        <v>0.1021</v>
      </c>
      <c r="M249" s="2">
        <v>0.26979999999999998</v>
      </c>
      <c r="N249">
        <f t="shared" si="43"/>
        <v>9.3100000000000006E-7</v>
      </c>
      <c r="O249" s="7">
        <f t="shared" si="39"/>
        <v>1419240513.5257137</v>
      </c>
      <c r="P249" s="7">
        <f t="shared" si="44"/>
        <v>4.4787824429639064E+16</v>
      </c>
      <c r="Q249">
        <f t="shared" si="45"/>
        <v>64829254.000000007</v>
      </c>
      <c r="R249">
        <f t="shared" si="46"/>
        <v>47358083400000.008</v>
      </c>
      <c r="S249" s="1">
        <f t="shared" si="47"/>
        <v>1.9890000000000001E+33</v>
      </c>
      <c r="T249" s="1">
        <f t="shared" si="48"/>
        <v>1.9416618E+33</v>
      </c>
      <c r="U249" s="8">
        <f t="shared" si="40"/>
        <v>1.402877989095087E-16</v>
      </c>
      <c r="V249" s="11">
        <f t="shared" si="41"/>
        <v>2.2553750758698601E+48</v>
      </c>
      <c r="W249" s="1">
        <f t="shared" si="42"/>
        <v>8.5349812915608863E+47</v>
      </c>
      <c r="X249">
        <f t="shared" si="49"/>
        <v>48.353218776739475</v>
      </c>
      <c r="Y249">
        <f t="shared" si="50"/>
        <v>47.931202573490495</v>
      </c>
      <c r="AA249" s="10">
        <f t="shared" si="51"/>
        <v>1419.2405135257136</v>
      </c>
    </row>
    <row r="250" spans="1:27" x14ac:dyDescent="0.25">
      <c r="A250" s="2">
        <v>1</v>
      </c>
      <c r="B250" s="2">
        <v>9.1616459999999993</v>
      </c>
      <c r="C250" s="6">
        <v>3.7487305560984945</v>
      </c>
      <c r="D250" s="2">
        <v>-0.112</v>
      </c>
      <c r="E250" s="2">
        <v>4499</v>
      </c>
      <c r="F250" s="2">
        <v>9.320000000000001E-4</v>
      </c>
      <c r="G250" s="2">
        <v>-0.51429999999999998</v>
      </c>
      <c r="H250" s="2">
        <v>7.141</v>
      </c>
      <c r="I250" s="2">
        <v>19731</v>
      </c>
      <c r="J250" s="2">
        <v>0.97619999999999996</v>
      </c>
      <c r="K250" s="2">
        <v>680.4</v>
      </c>
      <c r="L250" s="2">
        <v>0.10199999999999999</v>
      </c>
      <c r="M250" s="2">
        <v>0.26960000000000001</v>
      </c>
      <c r="N250">
        <f t="shared" si="43"/>
        <v>9.3200000000000014E-7</v>
      </c>
      <c r="O250" s="7">
        <f t="shared" si="39"/>
        <v>1450928461.7177095</v>
      </c>
      <c r="P250" s="7">
        <f t="shared" si="44"/>
        <v>4.5787820023502792E+16</v>
      </c>
      <c r="Q250">
        <f t="shared" si="45"/>
        <v>64898888</v>
      </c>
      <c r="R250">
        <f t="shared" si="46"/>
        <v>47378973600000</v>
      </c>
      <c r="S250" s="1">
        <f t="shared" si="47"/>
        <v>1.9890000000000001E+33</v>
      </c>
      <c r="T250" s="1">
        <f t="shared" si="48"/>
        <v>1.9416618E+33</v>
      </c>
      <c r="U250" s="8">
        <f t="shared" si="40"/>
        <v>1.3722394523160177E-16</v>
      </c>
      <c r="V250" s="11">
        <f t="shared" si="41"/>
        <v>2.258547257020744E+48</v>
      </c>
      <c r="W250" s="1">
        <f t="shared" si="42"/>
        <v>8.5449488210725476E+47</v>
      </c>
      <c r="X250">
        <f t="shared" si="49"/>
        <v>48.353829182012149</v>
      </c>
      <c r="Y250">
        <f t="shared" si="50"/>
        <v>47.931709465910785</v>
      </c>
      <c r="AA250" s="10">
        <f t="shared" si="51"/>
        <v>1450.9284617177095</v>
      </c>
    </row>
    <row r="251" spans="1:27" x14ac:dyDescent="0.25">
      <c r="A251" s="2">
        <v>1</v>
      </c>
      <c r="B251" s="2">
        <v>9.17103</v>
      </c>
      <c r="C251" s="6">
        <v>3.7488080049586023</v>
      </c>
      <c r="D251" s="2">
        <v>-0.111</v>
      </c>
      <c r="E251" s="2">
        <v>4498</v>
      </c>
      <c r="F251" s="2">
        <v>9.3300000000000002E-4</v>
      </c>
      <c r="G251" s="2">
        <v>-0.51429999999999998</v>
      </c>
      <c r="H251" s="2">
        <v>7.1420000000000003</v>
      </c>
      <c r="I251" s="2">
        <v>19747</v>
      </c>
      <c r="J251" s="2">
        <v>0.97619999999999996</v>
      </c>
      <c r="K251" s="2">
        <v>680.7</v>
      </c>
      <c r="L251" s="2">
        <v>0.10199999999999999</v>
      </c>
      <c r="M251" s="2">
        <v>0.26950000000000002</v>
      </c>
      <c r="N251">
        <f t="shared" si="43"/>
        <v>9.33E-7</v>
      </c>
      <c r="O251" s="7">
        <f t="shared" si="39"/>
        <v>1482620497.4043996</v>
      </c>
      <c r="P251" s="7">
        <f t="shared" si="44"/>
        <v>4.678794460888908E+16</v>
      </c>
      <c r="Q251">
        <f t="shared" si="45"/>
        <v>64968522</v>
      </c>
      <c r="R251">
        <f t="shared" si="46"/>
        <v>47399863800000</v>
      </c>
      <c r="S251" s="1">
        <f t="shared" si="47"/>
        <v>1.9890000000000001E+33</v>
      </c>
      <c r="T251" s="1">
        <f t="shared" si="48"/>
        <v>1.9416618E+33</v>
      </c>
      <c r="U251" s="8">
        <f t="shared" si="40"/>
        <v>1.3429068875972521E-16</v>
      </c>
      <c r="V251" s="11">
        <f t="shared" si="41"/>
        <v>2.2625569863275693E+48</v>
      </c>
      <c r="W251" s="1">
        <f t="shared" si="42"/>
        <v>8.5632954584568475E+47</v>
      </c>
      <c r="X251">
        <f t="shared" si="49"/>
        <v>48.35459952645666</v>
      </c>
      <c r="Y251">
        <f t="shared" si="50"/>
        <v>47.932640928695818</v>
      </c>
      <c r="AA251" s="10">
        <f t="shared" si="51"/>
        <v>1482.6204974043997</v>
      </c>
    </row>
    <row r="252" spans="1:27" x14ac:dyDescent="0.25">
      <c r="A252" s="2">
        <v>1</v>
      </c>
      <c r="B252" s="2">
        <v>9.1802119999999992</v>
      </c>
      <c r="C252" s="6">
        <v>3.7488854400095168</v>
      </c>
      <c r="D252" s="2">
        <v>-0.111</v>
      </c>
      <c r="E252" s="2">
        <v>4497</v>
      </c>
      <c r="F252" s="2">
        <v>9.3300000000000002E-4</v>
      </c>
      <c r="G252" s="2">
        <v>-0.51429999999999998</v>
      </c>
      <c r="H252" s="2">
        <v>7.1420000000000003</v>
      </c>
      <c r="I252" s="2">
        <v>19763</v>
      </c>
      <c r="J252" s="2">
        <v>0.97619999999999996</v>
      </c>
      <c r="K252" s="2">
        <v>680.9</v>
      </c>
      <c r="L252" s="2">
        <v>0.10199999999999999</v>
      </c>
      <c r="M252" s="2">
        <v>0.26929999999999998</v>
      </c>
      <c r="N252">
        <f t="shared" si="43"/>
        <v>9.33E-7</v>
      </c>
      <c r="O252" s="7">
        <f t="shared" si="39"/>
        <v>1514300270.7540948</v>
      </c>
      <c r="P252" s="7">
        <f t="shared" si="44"/>
        <v>4.7787682224349424E+16</v>
      </c>
      <c r="Q252">
        <f t="shared" si="45"/>
        <v>64968522</v>
      </c>
      <c r="R252">
        <f t="shared" si="46"/>
        <v>47413790600000</v>
      </c>
      <c r="S252" s="1">
        <f t="shared" si="47"/>
        <v>1.9890000000000001E+33</v>
      </c>
      <c r="T252" s="1">
        <f t="shared" si="48"/>
        <v>1.9416618E+33</v>
      </c>
      <c r="U252" s="8">
        <f t="shared" si="40"/>
        <v>1.3148127330557358E-16</v>
      </c>
      <c r="V252" s="11">
        <f t="shared" si="41"/>
        <v>2.2608779087866952E+48</v>
      </c>
      <c r="W252" s="1">
        <f t="shared" si="42"/>
        <v>8.5632954584568475E+47</v>
      </c>
      <c r="X252">
        <f t="shared" si="49"/>
        <v>48.354277110345414</v>
      </c>
      <c r="Y252">
        <f t="shared" si="50"/>
        <v>47.932640928695818</v>
      </c>
      <c r="AA252" s="10">
        <f t="shared" si="51"/>
        <v>1514.3002707540948</v>
      </c>
    </row>
    <row r="253" spans="1:27" x14ac:dyDescent="0.25">
      <c r="A253" s="2">
        <v>1</v>
      </c>
      <c r="B253" s="2">
        <v>9.1892069999999997</v>
      </c>
      <c r="C253" s="6">
        <v>3.7489628612561616</v>
      </c>
      <c r="D253" s="2">
        <v>-0.11</v>
      </c>
      <c r="E253" s="2">
        <v>4497</v>
      </c>
      <c r="F253" s="2">
        <v>9.3400000000000004E-4</v>
      </c>
      <c r="G253" s="2">
        <v>-0.51429999999999998</v>
      </c>
      <c r="H253" s="2">
        <v>7.1420000000000003</v>
      </c>
      <c r="I253" s="2">
        <v>19779</v>
      </c>
      <c r="J253" s="2">
        <v>0.97619999999999996</v>
      </c>
      <c r="K253" s="2">
        <v>681.2</v>
      </c>
      <c r="L253" s="2">
        <v>0.10199999999999999</v>
      </c>
      <c r="M253" s="2">
        <v>0.26910000000000001</v>
      </c>
      <c r="N253">
        <f t="shared" si="43"/>
        <v>9.3400000000000008E-7</v>
      </c>
      <c r="O253" s="7">
        <f t="shared" si="39"/>
        <v>1545991137.6188891</v>
      </c>
      <c r="P253" s="7">
        <f t="shared" si="44"/>
        <v>4.8787769924521856E+16</v>
      </c>
      <c r="Q253">
        <f t="shared" si="45"/>
        <v>65038156.000000007</v>
      </c>
      <c r="R253">
        <f t="shared" si="46"/>
        <v>47434680800000.008</v>
      </c>
      <c r="S253" s="1">
        <f t="shared" si="47"/>
        <v>1.9890000000000001E+33</v>
      </c>
      <c r="T253" s="1">
        <f t="shared" si="48"/>
        <v>1.9416618E+33</v>
      </c>
      <c r="U253" s="8">
        <f t="shared" si="40"/>
        <v>1.2878607316751964E-16</v>
      </c>
      <c r="V253" s="11">
        <f t="shared" si="41"/>
        <v>2.2640442965164182E+48</v>
      </c>
      <c r="W253" s="1">
        <f t="shared" si="42"/>
        <v>8.5816617705193112E+47</v>
      </c>
      <c r="X253">
        <f t="shared" si="49"/>
        <v>48.35488491966484</v>
      </c>
      <c r="Y253">
        <f t="shared" si="50"/>
        <v>47.933571393663009</v>
      </c>
      <c r="AA253" s="10">
        <f t="shared" si="51"/>
        <v>1545.9911376188891</v>
      </c>
    </row>
    <row r="254" spans="1:27" x14ac:dyDescent="0.25">
      <c r="A254" s="2">
        <v>1</v>
      </c>
      <c r="B254" s="2">
        <v>9.1980190000000004</v>
      </c>
      <c r="C254" s="6">
        <v>3.7491176623563223</v>
      </c>
      <c r="D254" s="2">
        <v>-0.109</v>
      </c>
      <c r="E254" s="2">
        <v>4496</v>
      </c>
      <c r="F254" s="2">
        <v>9.3500000000000007E-4</v>
      </c>
      <c r="G254" s="2">
        <v>-0.51429999999999998</v>
      </c>
      <c r="H254" s="2">
        <v>7.1429999999999998</v>
      </c>
      <c r="I254" s="2">
        <v>19795</v>
      </c>
      <c r="J254" s="2">
        <v>0.97619999999999996</v>
      </c>
      <c r="K254" s="2">
        <v>681.5</v>
      </c>
      <c r="L254" s="2">
        <v>0.10199999999999999</v>
      </c>
      <c r="M254" s="2">
        <v>0.26889999999999997</v>
      </c>
      <c r="N254">
        <f t="shared" si="43"/>
        <v>9.3500000000000005E-7</v>
      </c>
      <c r="O254" s="7">
        <f t="shared" si="39"/>
        <v>1577680290.3087883</v>
      </c>
      <c r="P254" s="7">
        <f t="shared" si="44"/>
        <v>4.9787803529448616E+16</v>
      </c>
      <c r="Q254">
        <f t="shared" si="45"/>
        <v>65107790.000000007</v>
      </c>
      <c r="R254">
        <f t="shared" si="46"/>
        <v>47455571000000</v>
      </c>
      <c r="S254" s="1">
        <f t="shared" si="47"/>
        <v>1.9890000000000001E+33</v>
      </c>
      <c r="T254" s="1">
        <f t="shared" si="48"/>
        <v>1.9416618E+33</v>
      </c>
      <c r="U254" s="8">
        <f t="shared" si="40"/>
        <v>1.2619928700938156E-16</v>
      </c>
      <c r="V254" s="11">
        <f t="shared" si="41"/>
        <v>2.2672086685560737E+48</v>
      </c>
      <c r="W254" s="1">
        <f t="shared" si="42"/>
        <v>8.6000477572599306E+47</v>
      </c>
      <c r="X254">
        <f t="shared" si="49"/>
        <v>48.355491493409239</v>
      </c>
      <c r="Y254">
        <f t="shared" si="50"/>
        <v>47.934500862947857</v>
      </c>
      <c r="AA254" s="10">
        <f t="shared" si="51"/>
        <v>1577.6802903087882</v>
      </c>
    </row>
    <row r="255" spans="1:27" x14ac:dyDescent="0.25">
      <c r="A255" s="2">
        <v>1</v>
      </c>
      <c r="B255" s="2">
        <v>9.2066560000000006</v>
      </c>
      <c r="C255" s="6">
        <v>3.7491950422196725</v>
      </c>
      <c r="D255" s="2">
        <v>-0.108</v>
      </c>
      <c r="E255" s="2">
        <v>4496</v>
      </c>
      <c r="F255" s="2">
        <v>9.3500000000000007E-4</v>
      </c>
      <c r="G255" s="2">
        <v>-0.51429999999999998</v>
      </c>
      <c r="H255" s="2">
        <v>7.1429999999999998</v>
      </c>
      <c r="I255" s="2">
        <v>19811</v>
      </c>
      <c r="J255" s="2">
        <v>0.97619999999999996</v>
      </c>
      <c r="K255" s="2">
        <v>681.7</v>
      </c>
      <c r="L255" s="2">
        <v>0.1019</v>
      </c>
      <c r="M255" s="2">
        <v>0.26869999999999999</v>
      </c>
      <c r="N255">
        <f t="shared" si="43"/>
        <v>9.3500000000000005E-7</v>
      </c>
      <c r="O255" s="7">
        <f t="shared" si="39"/>
        <v>1609370365.1801908</v>
      </c>
      <c r="P255" s="7">
        <f t="shared" si="44"/>
        <v>5.0787866236210392E+16</v>
      </c>
      <c r="Q255">
        <f t="shared" si="45"/>
        <v>65107790.000000007</v>
      </c>
      <c r="R255">
        <f t="shared" si="46"/>
        <v>47469497800000</v>
      </c>
      <c r="S255" s="1">
        <f t="shared" si="47"/>
        <v>1.9890000000000001E+33</v>
      </c>
      <c r="T255" s="1">
        <f t="shared" si="48"/>
        <v>1.9416618E+33</v>
      </c>
      <c r="U255" s="8">
        <f t="shared" si="40"/>
        <v>1.2371429974941225E-16</v>
      </c>
      <c r="V255" s="11">
        <f t="shared" si="41"/>
        <v>2.2655223846821014E+48</v>
      </c>
      <c r="W255" s="1">
        <f t="shared" si="42"/>
        <v>8.591616337890069E+47</v>
      </c>
      <c r="X255">
        <f t="shared" si="49"/>
        <v>48.355168357619107</v>
      </c>
      <c r="Y255">
        <f t="shared" si="50"/>
        <v>47.934074875192366</v>
      </c>
      <c r="AA255" s="10">
        <f t="shared" si="51"/>
        <v>1609.3703651801909</v>
      </c>
    </row>
    <row r="256" spans="1:27" x14ac:dyDescent="0.25">
      <c r="A256" s="2">
        <v>1</v>
      </c>
      <c r="B256" s="2">
        <v>9.2151239999999994</v>
      </c>
      <c r="C256" s="6">
        <v>3.7492724082984203</v>
      </c>
      <c r="D256" s="2">
        <v>-0.107</v>
      </c>
      <c r="E256" s="2">
        <v>4495</v>
      </c>
      <c r="F256" s="2">
        <v>9.3600000000000009E-4</v>
      </c>
      <c r="G256" s="2">
        <v>-0.51429999999999998</v>
      </c>
      <c r="H256" s="2">
        <v>7.1440000000000001</v>
      </c>
      <c r="I256" s="2">
        <v>19828</v>
      </c>
      <c r="J256" s="2">
        <v>0.97619999999999996</v>
      </c>
      <c r="K256" s="2">
        <v>682</v>
      </c>
      <c r="L256" s="2">
        <v>0.1019</v>
      </c>
      <c r="M256" s="2">
        <v>0.26850000000000002</v>
      </c>
      <c r="N256">
        <f t="shared" si="43"/>
        <v>9.3600000000000012E-7</v>
      </c>
      <c r="O256" s="7">
        <f t="shared" si="39"/>
        <v>1641058262.1748555</v>
      </c>
      <c r="P256" s="7">
        <f t="shared" si="44"/>
        <v>5.1787860214409216E+16</v>
      </c>
      <c r="Q256">
        <f t="shared" si="45"/>
        <v>65177424.000000007</v>
      </c>
      <c r="R256">
        <f t="shared" si="46"/>
        <v>47490388000000</v>
      </c>
      <c r="S256" s="1">
        <f t="shared" si="47"/>
        <v>1.9890000000000001E+33</v>
      </c>
      <c r="T256" s="1">
        <f t="shared" si="48"/>
        <v>1.9416618E+33</v>
      </c>
      <c r="U256" s="8">
        <f t="shared" si="40"/>
        <v>1.2132544733777941E-16</v>
      </c>
      <c r="V256" s="11">
        <f t="shared" si="41"/>
        <v>2.2686811205051316E+48</v>
      </c>
      <c r="W256" s="1">
        <f t="shared" si="42"/>
        <v>8.610003954542752E+47</v>
      </c>
      <c r="X256">
        <f t="shared" si="49"/>
        <v>48.35577345695269</v>
      </c>
      <c r="Y256">
        <f t="shared" si="50"/>
        <v>47.935003350923537</v>
      </c>
      <c r="AA256" s="10">
        <f t="shared" si="51"/>
        <v>1641.0582621748554</v>
      </c>
    </row>
    <row r="257" spans="1:27" x14ac:dyDescent="0.25">
      <c r="A257" s="2">
        <v>1</v>
      </c>
      <c r="B257" s="2">
        <v>9.2234280000000002</v>
      </c>
      <c r="C257" s="6">
        <v>3.7493497605974766</v>
      </c>
      <c r="D257" s="2">
        <v>-0.106</v>
      </c>
      <c r="E257" s="2">
        <v>4494</v>
      </c>
      <c r="F257" s="2">
        <v>9.3700000000000001E-4</v>
      </c>
      <c r="G257" s="2">
        <v>-0.51429999999999998</v>
      </c>
      <c r="H257" s="2">
        <v>7.1440000000000001</v>
      </c>
      <c r="I257" s="2">
        <v>19844</v>
      </c>
      <c r="J257" s="2">
        <v>0.97619999999999996</v>
      </c>
      <c r="K257" s="2">
        <v>682.3</v>
      </c>
      <c r="L257" s="2">
        <v>0.1019</v>
      </c>
      <c r="M257" s="2">
        <v>0.26830000000000004</v>
      </c>
      <c r="N257">
        <f t="shared" si="43"/>
        <v>9.3699999999999999E-7</v>
      </c>
      <c r="O257" s="7">
        <f t="shared" si="39"/>
        <v>1672738296.6065712</v>
      </c>
      <c r="P257" s="7">
        <f t="shared" si="44"/>
        <v>5.2787606068991528E+16</v>
      </c>
      <c r="Q257">
        <f t="shared" si="45"/>
        <v>65247058</v>
      </c>
      <c r="R257">
        <f t="shared" si="46"/>
        <v>47511278200000</v>
      </c>
      <c r="S257" s="1">
        <f t="shared" si="47"/>
        <v>1.9890000000000001E+33</v>
      </c>
      <c r="T257" s="1">
        <f t="shared" si="48"/>
        <v>1.9416618E+33</v>
      </c>
      <c r="U257" s="8">
        <f t="shared" si="40"/>
        <v>1.1902766151144809E-16</v>
      </c>
      <c r="V257" s="11">
        <f t="shared" si="41"/>
        <v>2.2718378136336344E+48</v>
      </c>
      <c r="W257" s="1">
        <f t="shared" si="42"/>
        <v>8.6284112265846947E+47</v>
      </c>
      <c r="X257">
        <f t="shared" si="49"/>
        <v>48.356377323888395</v>
      </c>
      <c r="Y257">
        <f t="shared" si="50"/>
        <v>47.935930835222884</v>
      </c>
      <c r="AA257" s="10">
        <f t="shared" si="51"/>
        <v>1672.7382966065711</v>
      </c>
    </row>
    <row r="258" spans="1:27" x14ac:dyDescent="0.25">
      <c r="A258" s="2">
        <v>1</v>
      </c>
      <c r="B258" s="2">
        <v>9.231579</v>
      </c>
      <c r="C258" s="6">
        <v>3.7494270991217489</v>
      </c>
      <c r="D258" s="2">
        <v>-0.105</v>
      </c>
      <c r="E258" s="2">
        <v>4494</v>
      </c>
      <c r="F258" s="2">
        <v>9.3700000000000001E-4</v>
      </c>
      <c r="G258" s="2">
        <v>-0.51429999999999998</v>
      </c>
      <c r="H258" s="2">
        <v>7.1440000000000001</v>
      </c>
      <c r="I258" s="2">
        <v>19861</v>
      </c>
      <c r="J258" s="2">
        <v>0.97760000000000002</v>
      </c>
      <c r="K258" s="2">
        <v>688.7</v>
      </c>
      <c r="L258" s="2">
        <v>9.9489999999999995E-2</v>
      </c>
      <c r="M258" s="2">
        <v>0.26900000000000002</v>
      </c>
      <c r="N258">
        <f t="shared" si="43"/>
        <v>9.3699999999999999E-7</v>
      </c>
      <c r="O258" s="7">
        <f t="shared" ref="O258:O321" si="52">10^B258</f>
        <v>1704429334.0107419</v>
      </c>
      <c r="P258" s="7">
        <f t="shared" si="44"/>
        <v>5.3787699150977392E+16</v>
      </c>
      <c r="Q258">
        <f t="shared" si="45"/>
        <v>65247058</v>
      </c>
      <c r="R258">
        <f t="shared" si="46"/>
        <v>47956935800000</v>
      </c>
      <c r="S258" s="1">
        <f t="shared" si="47"/>
        <v>1.9890000000000001E+33</v>
      </c>
      <c r="T258" s="1">
        <f t="shared" si="48"/>
        <v>1.9444464E+33</v>
      </c>
      <c r="U258" s="8">
        <f t="shared" ref="U258:U321" si="53">(2*PI())/P258</f>
        <v>1.1681453950174058E-16</v>
      </c>
      <c r="V258" s="11">
        <f t="shared" ref="V258:V321" si="54">M258*S258*(Q258^2)</f>
        <v>2.277765083367304E+48</v>
      </c>
      <c r="W258" s="1">
        <f t="shared" ref="W258:W321" si="55">L258*S258*(Q258^2)</f>
        <v>8.4243437971826408E+47</v>
      </c>
      <c r="X258">
        <f t="shared" si="49"/>
        <v>48.357508931218867</v>
      </c>
      <c r="Y258">
        <f t="shared" si="50"/>
        <v>47.925536082082061</v>
      </c>
      <c r="AA258" s="10">
        <f t="shared" si="51"/>
        <v>1704.429334010742</v>
      </c>
    </row>
    <row r="259" spans="1:27" x14ac:dyDescent="0.25">
      <c r="A259" s="2">
        <v>1</v>
      </c>
      <c r="B259" s="2">
        <v>9.2395800000000001</v>
      </c>
      <c r="C259" s="6">
        <v>3.7495044238761421</v>
      </c>
      <c r="D259" s="2">
        <v>-0.104</v>
      </c>
      <c r="E259" s="2">
        <v>4493</v>
      </c>
      <c r="F259" s="2">
        <v>9.3799999999999992E-4</v>
      </c>
      <c r="G259" s="2">
        <v>-0.51429999999999998</v>
      </c>
      <c r="H259" s="2">
        <v>7.1449999999999996</v>
      </c>
      <c r="I259" s="2">
        <v>19877</v>
      </c>
      <c r="J259" s="2">
        <v>0.97760000000000002</v>
      </c>
      <c r="K259" s="2">
        <v>689</v>
      </c>
      <c r="L259" s="2">
        <v>9.9470000000000003E-2</v>
      </c>
      <c r="M259" s="2">
        <v>0.26880000000000004</v>
      </c>
      <c r="N259">
        <f t="shared" ref="N259:N322" si="56">F259/(10^3)</f>
        <v>9.3799999999999996E-7</v>
      </c>
      <c r="O259" s="7">
        <f t="shared" si="52"/>
        <v>1736121038.7319777</v>
      </c>
      <c r="P259" s="7">
        <f t="shared" ref="P259:P322" si="57">O259*31557600</f>
        <v>5.4787813291888256E+16</v>
      </c>
      <c r="Q259">
        <f t="shared" ref="Q259:Q322" si="58">F259*6.9634*(10^10)</f>
        <v>65316691.999999993</v>
      </c>
      <c r="R259">
        <f t="shared" ref="R259:R322" si="59">K259*6.9634*(10^10)</f>
        <v>47977826000000.008</v>
      </c>
      <c r="S259" s="1">
        <f t="shared" ref="S259:S322" si="60">A259*1.989*(10^33)</f>
        <v>1.9890000000000001E+33</v>
      </c>
      <c r="T259" s="1">
        <f t="shared" ref="T259:T322" si="61">J259*1.989*(10^33)</f>
        <v>1.9444464E+33</v>
      </c>
      <c r="U259" s="8">
        <f t="shared" si="53"/>
        <v>1.1468216980490183E-16</v>
      </c>
      <c r="V259" s="11">
        <f t="shared" si="54"/>
        <v>2.2809323805686682E+48</v>
      </c>
      <c r="W259" s="1">
        <f t="shared" si="55"/>
        <v>8.4406377937189511E+47</v>
      </c>
      <c r="X259">
        <f t="shared" ref="X259:X322" si="62">LOG(V259)</f>
        <v>48.358112410580816</v>
      </c>
      <c r="Y259">
        <f t="shared" ref="Y259:Y322" si="63">LOG(W259)</f>
        <v>47.926375264140759</v>
      </c>
      <c r="AA259" s="10">
        <f t="shared" ref="AA259:AA322" si="64">O259/(1*1000000)</f>
        <v>1736.1210387319777</v>
      </c>
    </row>
    <row r="260" spans="1:27" x14ac:dyDescent="0.25">
      <c r="A260" s="2">
        <v>1</v>
      </c>
      <c r="B260" s="2">
        <v>9.2474360000000004</v>
      </c>
      <c r="C260" s="6">
        <v>3.7495817348655591</v>
      </c>
      <c r="D260" s="2">
        <v>-0.10299999999999999</v>
      </c>
      <c r="E260" s="2">
        <v>4493</v>
      </c>
      <c r="F260" s="2">
        <v>9.3799999999999992E-4</v>
      </c>
      <c r="G260" s="2">
        <v>-0.51429999999999998</v>
      </c>
      <c r="H260" s="2">
        <v>7.1449999999999996</v>
      </c>
      <c r="I260" s="2">
        <v>19894</v>
      </c>
      <c r="J260" s="2">
        <v>0.97760000000000002</v>
      </c>
      <c r="K260" s="2">
        <v>689.2</v>
      </c>
      <c r="L260" s="2">
        <v>9.9449999999999997E-2</v>
      </c>
      <c r="M260" s="2">
        <v>0.26860000000000001</v>
      </c>
      <c r="N260">
        <f t="shared" si="56"/>
        <v>9.3799999999999996E-7</v>
      </c>
      <c r="O260" s="7">
        <f t="shared" si="52"/>
        <v>1767811684.1807799</v>
      </c>
      <c r="P260" s="7">
        <f t="shared" si="57"/>
        <v>5.5787894004703384E+16</v>
      </c>
      <c r="Q260">
        <f t="shared" si="58"/>
        <v>65316691.999999993</v>
      </c>
      <c r="R260">
        <f t="shared" si="59"/>
        <v>47991752800000</v>
      </c>
      <c r="S260" s="1">
        <f t="shared" si="60"/>
        <v>1.9890000000000001E+33</v>
      </c>
      <c r="T260" s="1">
        <f t="shared" si="61"/>
        <v>1.9444464E+33</v>
      </c>
      <c r="U260" s="8">
        <f t="shared" si="53"/>
        <v>1.1262632187997383E-16</v>
      </c>
      <c r="V260" s="11">
        <f t="shared" si="54"/>
        <v>2.2792352582616971E+48</v>
      </c>
      <c r="W260" s="1">
        <f t="shared" si="55"/>
        <v>8.4389406714119794E+47</v>
      </c>
      <c r="X260">
        <f t="shared" si="62"/>
        <v>48.35778915453173</v>
      </c>
      <c r="Y260">
        <f t="shared" si="63"/>
        <v>47.926287933659488</v>
      </c>
      <c r="AA260" s="10">
        <f t="shared" si="64"/>
        <v>1767.8116841807798</v>
      </c>
    </row>
    <row r="261" spans="1:27" x14ac:dyDescent="0.25">
      <c r="A261" s="2">
        <v>1</v>
      </c>
      <c r="B261" s="2">
        <v>9.2551520000000007</v>
      </c>
      <c r="C261" s="6">
        <v>3.7496590320948999</v>
      </c>
      <c r="D261" s="2">
        <v>-0.10199999999999999</v>
      </c>
      <c r="E261" s="2">
        <v>4492</v>
      </c>
      <c r="F261" s="2">
        <v>9.3899999999999995E-4</v>
      </c>
      <c r="G261" s="2">
        <v>-0.51429999999999998</v>
      </c>
      <c r="H261" s="2">
        <v>7.1459999999999999</v>
      </c>
      <c r="I261" s="2">
        <v>19911</v>
      </c>
      <c r="J261" s="2">
        <v>0.97760000000000002</v>
      </c>
      <c r="K261" s="2">
        <v>689.5</v>
      </c>
      <c r="L261" s="2">
        <v>9.9430000000000004E-2</v>
      </c>
      <c r="M261" s="2">
        <v>0.26839999999999997</v>
      </c>
      <c r="N261">
        <f t="shared" si="56"/>
        <v>9.3899999999999992E-7</v>
      </c>
      <c r="O261" s="7">
        <f t="shared" si="52"/>
        <v>1799500617.4277573</v>
      </c>
      <c r="P261" s="7">
        <f t="shared" si="57"/>
        <v>5.6787920684538192E+16</v>
      </c>
      <c r="Q261">
        <f t="shared" si="58"/>
        <v>65386325.999999993</v>
      </c>
      <c r="R261">
        <f t="shared" si="59"/>
        <v>48012643000000</v>
      </c>
      <c r="S261" s="1">
        <f t="shared" si="60"/>
        <v>1.9890000000000001E+33</v>
      </c>
      <c r="T261" s="1">
        <f t="shared" si="61"/>
        <v>1.9444464E+33</v>
      </c>
      <c r="U261" s="8">
        <f t="shared" si="53"/>
        <v>1.1064298941465429E-16</v>
      </c>
      <c r="V261" s="11">
        <f t="shared" si="54"/>
        <v>2.2823968825975254E+48</v>
      </c>
      <c r="W261" s="1">
        <f t="shared" si="55"/>
        <v>8.4552429968953783E+47</v>
      </c>
      <c r="X261">
        <f t="shared" si="62"/>
        <v>48.358391165470081</v>
      </c>
      <c r="Y261">
        <f t="shared" si="63"/>
        <v>47.927126093387848</v>
      </c>
      <c r="AA261" s="10">
        <f t="shared" si="64"/>
        <v>1799.5006174277573</v>
      </c>
    </row>
    <row r="262" spans="1:27" x14ac:dyDescent="0.25">
      <c r="A262" s="2">
        <v>1</v>
      </c>
      <c r="B262" s="2">
        <v>9.2627330000000008</v>
      </c>
      <c r="C262" s="6">
        <v>3.7498135852929377</v>
      </c>
      <c r="D262" s="2">
        <v>-0.10100000000000001</v>
      </c>
      <c r="E262" s="2">
        <v>4491</v>
      </c>
      <c r="F262" s="2">
        <v>9.3999999999999997E-4</v>
      </c>
      <c r="G262" s="2">
        <v>-0.51429999999999998</v>
      </c>
      <c r="H262" s="2">
        <v>7.1459999999999999</v>
      </c>
      <c r="I262" s="2">
        <v>19927</v>
      </c>
      <c r="J262" s="2">
        <v>0.97760000000000002</v>
      </c>
      <c r="K262" s="2">
        <v>689.8</v>
      </c>
      <c r="L262" s="2">
        <v>9.9409999999999998E-2</v>
      </c>
      <c r="M262" s="2">
        <v>0.26819999999999999</v>
      </c>
      <c r="N262">
        <f t="shared" si="56"/>
        <v>9.4E-7</v>
      </c>
      <c r="O262" s="7">
        <f t="shared" si="52"/>
        <v>1831188279.5909467</v>
      </c>
      <c r="P262" s="7">
        <f t="shared" si="57"/>
        <v>5.7787907252019256E+16</v>
      </c>
      <c r="Q262">
        <f t="shared" si="58"/>
        <v>65455960</v>
      </c>
      <c r="R262">
        <f t="shared" si="59"/>
        <v>48033533199999.992</v>
      </c>
      <c r="S262" s="1">
        <f t="shared" si="60"/>
        <v>1.9890000000000001E+33</v>
      </c>
      <c r="T262" s="1">
        <f t="shared" si="61"/>
        <v>1.9444464E+33</v>
      </c>
      <c r="U262" s="8">
        <f t="shared" si="53"/>
        <v>1.0872837598665655E-16</v>
      </c>
      <c r="V262" s="11">
        <f t="shared" si="54"/>
        <v>2.2855564391632578E+48</v>
      </c>
      <c r="W262" s="1">
        <f t="shared" si="55"/>
        <v>8.4715572564213069E+47</v>
      </c>
      <c r="X262">
        <f t="shared" si="62"/>
        <v>48.358991950155882</v>
      </c>
      <c r="Y262">
        <f t="shared" si="63"/>
        <v>47.92796325043777</v>
      </c>
      <c r="AA262" s="10">
        <f t="shared" si="64"/>
        <v>1831.1882795909466</v>
      </c>
    </row>
    <row r="263" spans="1:27" x14ac:dyDescent="0.25">
      <c r="A263" s="2">
        <v>1</v>
      </c>
      <c r="B263" s="2">
        <v>9.2701829999999994</v>
      </c>
      <c r="C263" s="6">
        <v>3.7498135852929377</v>
      </c>
      <c r="D263" s="2">
        <v>-0.1</v>
      </c>
      <c r="E263" s="2">
        <v>4491</v>
      </c>
      <c r="F263" s="2">
        <v>9.3999999999999997E-4</v>
      </c>
      <c r="G263" s="2">
        <v>-0.51429999999999998</v>
      </c>
      <c r="H263" s="2">
        <v>7.1459999999999999</v>
      </c>
      <c r="I263" s="2">
        <v>19944</v>
      </c>
      <c r="J263" s="2">
        <v>0.97760000000000002</v>
      </c>
      <c r="K263" s="2">
        <v>690.1</v>
      </c>
      <c r="L263" s="2">
        <v>9.9400000000000002E-2</v>
      </c>
      <c r="M263" s="2">
        <v>0.2681</v>
      </c>
      <c r="N263">
        <f t="shared" si="56"/>
        <v>9.4E-7</v>
      </c>
      <c r="O263" s="7">
        <f t="shared" si="52"/>
        <v>1862871935.3749204</v>
      </c>
      <c r="P263" s="7">
        <f t="shared" si="57"/>
        <v>5.8787767387787584E+16</v>
      </c>
      <c r="Q263">
        <f t="shared" si="58"/>
        <v>65455960</v>
      </c>
      <c r="R263">
        <f t="shared" si="59"/>
        <v>48054423400000.008</v>
      </c>
      <c r="S263" s="1">
        <f t="shared" si="60"/>
        <v>1.9890000000000001E+33</v>
      </c>
      <c r="T263" s="1">
        <f t="shared" si="61"/>
        <v>1.9444464E+33</v>
      </c>
      <c r="U263" s="8">
        <f t="shared" si="53"/>
        <v>1.0687912785891642E-16</v>
      </c>
      <c r="V263" s="11">
        <f t="shared" si="54"/>
        <v>2.2847042555543232E+48</v>
      </c>
      <c r="W263" s="1">
        <f t="shared" si="55"/>
        <v>8.4707050728123726E+47</v>
      </c>
      <c r="X263">
        <f t="shared" si="62"/>
        <v>48.358829990623178</v>
      </c>
      <c r="Y263">
        <f t="shared" si="63"/>
        <v>47.927919561037612</v>
      </c>
      <c r="AA263" s="10">
        <f t="shared" si="64"/>
        <v>1862.8719353749204</v>
      </c>
    </row>
    <row r="264" spans="1:27" x14ac:dyDescent="0.25">
      <c r="A264" s="2">
        <v>1</v>
      </c>
      <c r="B264" s="2">
        <v>9.2775079999999992</v>
      </c>
      <c r="C264" s="6">
        <v>3.7499680835094029</v>
      </c>
      <c r="D264" s="2">
        <v>-9.9000000000000005E-2</v>
      </c>
      <c r="E264" s="2">
        <v>4490</v>
      </c>
      <c r="F264" s="2">
        <v>9.41E-4</v>
      </c>
      <c r="G264" s="2">
        <v>-0.51429999999999998</v>
      </c>
      <c r="H264" s="2">
        <v>7.1470000000000002</v>
      </c>
      <c r="I264" s="2">
        <v>19961</v>
      </c>
      <c r="J264" s="2">
        <v>0.97760000000000002</v>
      </c>
      <c r="K264" s="2">
        <v>690.4</v>
      </c>
      <c r="L264" s="2">
        <v>9.9379999999999996E-2</v>
      </c>
      <c r="M264" s="2">
        <v>0.26789999999999997</v>
      </c>
      <c r="N264">
        <f t="shared" si="56"/>
        <v>9.4099999999999997E-7</v>
      </c>
      <c r="O264" s="7">
        <f t="shared" si="52"/>
        <v>1894558413.0908377</v>
      </c>
      <c r="P264" s="7">
        <f t="shared" si="57"/>
        <v>5.9787716576955424E+16</v>
      </c>
      <c r="Q264">
        <f t="shared" si="58"/>
        <v>65525593.999999993</v>
      </c>
      <c r="R264">
        <f t="shared" si="59"/>
        <v>48075313600000</v>
      </c>
      <c r="S264" s="1">
        <f t="shared" si="60"/>
        <v>1.9890000000000001E+33</v>
      </c>
      <c r="T264" s="1">
        <f t="shared" si="61"/>
        <v>1.9444464E+33</v>
      </c>
      <c r="U264" s="8">
        <f t="shared" si="53"/>
        <v>1.0509157510794411E-16</v>
      </c>
      <c r="V264" s="11">
        <f t="shared" si="54"/>
        <v>2.2878599186555572E+48</v>
      </c>
      <c r="W264" s="1">
        <f t="shared" si="55"/>
        <v>8.4870294406864238E+47</v>
      </c>
      <c r="X264">
        <f t="shared" si="62"/>
        <v>48.359429429903628</v>
      </c>
      <c r="Y264">
        <f t="shared" si="63"/>
        <v>47.928755708704927</v>
      </c>
      <c r="AA264" s="10">
        <f t="shared" si="64"/>
        <v>1894.5584130908378</v>
      </c>
    </row>
    <row r="265" spans="1:27" x14ac:dyDescent="0.25">
      <c r="A265" s="2">
        <v>1</v>
      </c>
      <c r="B265" s="2">
        <v>9.284713</v>
      </c>
      <c r="C265" s="6">
        <v>3.7500453120117676</v>
      </c>
      <c r="D265" s="2">
        <v>-9.8000000000000004E-2</v>
      </c>
      <c r="E265" s="2">
        <v>4490</v>
      </c>
      <c r="F265" s="2">
        <v>9.4199999999999991E-4</v>
      </c>
      <c r="G265" s="2">
        <v>-0.51429999999999998</v>
      </c>
      <c r="H265" s="2">
        <v>7.1470000000000002</v>
      </c>
      <c r="I265" s="2">
        <v>19978</v>
      </c>
      <c r="J265" s="2">
        <v>0.97760000000000002</v>
      </c>
      <c r="K265" s="2">
        <v>690.7</v>
      </c>
      <c r="L265" s="2">
        <v>9.9360000000000004E-2</v>
      </c>
      <c r="M265" s="2">
        <v>0.26769999999999999</v>
      </c>
      <c r="N265">
        <f t="shared" si="56"/>
        <v>9.4199999999999994E-7</v>
      </c>
      <c r="O265" s="7">
        <f t="shared" si="52"/>
        <v>1926251544.7171814</v>
      </c>
      <c r="P265" s="7">
        <f t="shared" si="57"/>
        <v>6.0787875747566928E+16</v>
      </c>
      <c r="Q265">
        <f t="shared" si="58"/>
        <v>65595227.999999993</v>
      </c>
      <c r="R265">
        <f t="shared" si="59"/>
        <v>48096203800000</v>
      </c>
      <c r="S265" s="1">
        <f t="shared" si="60"/>
        <v>1.9890000000000001E+33</v>
      </c>
      <c r="T265" s="1">
        <f t="shared" si="61"/>
        <v>1.9444464E+33</v>
      </c>
      <c r="U265" s="8">
        <f t="shared" si="53"/>
        <v>1.0336247532767378E-16</v>
      </c>
      <c r="V265" s="11">
        <f t="shared" si="54"/>
        <v>2.2910134889111252E+48</v>
      </c>
      <c r="W265" s="1">
        <f t="shared" si="55"/>
        <v>8.5033657175274333E+47</v>
      </c>
      <c r="X265">
        <f t="shared" si="62"/>
        <v>48.360027646213588</v>
      </c>
      <c r="Y265">
        <f t="shared" si="63"/>
        <v>47.929590857859161</v>
      </c>
      <c r="AA265" s="10">
        <f t="shared" si="64"/>
        <v>1926.2515447171813</v>
      </c>
    </row>
    <row r="266" spans="1:27" x14ac:dyDescent="0.25">
      <c r="A266" s="2">
        <v>1</v>
      </c>
      <c r="B266" s="2">
        <v>9.2917989999999993</v>
      </c>
      <c r="C266" s="6">
        <v>3.7501225267834002</v>
      </c>
      <c r="D266" s="2">
        <v>-9.7000000000000003E-2</v>
      </c>
      <c r="E266" s="2">
        <v>4489</v>
      </c>
      <c r="F266" s="2">
        <v>9.4199999999999991E-4</v>
      </c>
      <c r="G266" s="2">
        <v>-0.51429999999999998</v>
      </c>
      <c r="H266" s="2">
        <v>7.1470000000000002</v>
      </c>
      <c r="I266" s="2">
        <v>19995</v>
      </c>
      <c r="J266" s="2">
        <v>0.97760000000000002</v>
      </c>
      <c r="K266" s="2">
        <v>690.9</v>
      </c>
      <c r="L266" s="2">
        <v>9.9339999999999998E-2</v>
      </c>
      <c r="M266" s="2">
        <v>0.26750000000000002</v>
      </c>
      <c r="N266">
        <f t="shared" si="56"/>
        <v>9.4199999999999994E-7</v>
      </c>
      <c r="O266" s="7">
        <f t="shared" si="52"/>
        <v>1957938291.5523498</v>
      </c>
      <c r="P266" s="7">
        <f t="shared" si="57"/>
        <v>6.1787833429492432E+16</v>
      </c>
      <c r="Q266">
        <f t="shared" si="58"/>
        <v>65595227.999999993</v>
      </c>
      <c r="R266">
        <f t="shared" si="59"/>
        <v>48110130600000</v>
      </c>
      <c r="S266" s="1">
        <f t="shared" si="60"/>
        <v>1.9890000000000001E+33</v>
      </c>
      <c r="T266" s="1">
        <f t="shared" si="61"/>
        <v>1.9444464E+33</v>
      </c>
      <c r="U266" s="8">
        <f t="shared" si="53"/>
        <v>1.0168968482038585E-16</v>
      </c>
      <c r="V266" s="11">
        <f t="shared" si="54"/>
        <v>2.2893018613512365E+48</v>
      </c>
      <c r="W266" s="1">
        <f t="shared" si="55"/>
        <v>8.5016540899675446E+47</v>
      </c>
      <c r="X266">
        <f t="shared" si="62"/>
        <v>48.359703061383904</v>
      </c>
      <c r="Y266">
        <f t="shared" si="63"/>
        <v>47.929503430685862</v>
      </c>
      <c r="AA266" s="10">
        <f t="shared" si="64"/>
        <v>1957.9382915523497</v>
      </c>
    </row>
    <row r="267" spans="1:27" x14ac:dyDescent="0.25">
      <c r="A267" s="2">
        <v>1</v>
      </c>
      <c r="B267" s="2">
        <v>9.2987719999999996</v>
      </c>
      <c r="C267" s="6">
        <v>3.7501997278291821</v>
      </c>
      <c r="D267" s="2">
        <v>-9.6000000000000002E-2</v>
      </c>
      <c r="E267" s="2">
        <v>4488</v>
      </c>
      <c r="F267" s="2">
        <v>9.4299999999999994E-4</v>
      </c>
      <c r="G267" s="2">
        <v>-0.51429999999999998</v>
      </c>
      <c r="H267" s="2">
        <v>7.1479999999999997</v>
      </c>
      <c r="I267" s="2">
        <v>20012</v>
      </c>
      <c r="J267" s="2">
        <v>0.97760000000000002</v>
      </c>
      <c r="K267" s="2">
        <v>691.2</v>
      </c>
      <c r="L267" s="2">
        <v>9.9319999999999992E-2</v>
      </c>
      <c r="M267" s="2">
        <v>0.26730000000000004</v>
      </c>
      <c r="N267">
        <f t="shared" si="56"/>
        <v>9.4299999999999991E-7</v>
      </c>
      <c r="O267" s="7">
        <f t="shared" si="52"/>
        <v>1989628530.8635588</v>
      </c>
      <c r="P267" s="7">
        <f t="shared" si="57"/>
        <v>6.278790132557984E+16</v>
      </c>
      <c r="Q267">
        <f t="shared" si="58"/>
        <v>65664862</v>
      </c>
      <c r="R267">
        <f t="shared" si="59"/>
        <v>48131020800000.008</v>
      </c>
      <c r="S267" s="1">
        <f t="shared" si="60"/>
        <v>1.9890000000000001E+33</v>
      </c>
      <c r="T267" s="1">
        <f t="shared" si="61"/>
        <v>1.9444464E+33</v>
      </c>
      <c r="U267" s="8">
        <f t="shared" si="53"/>
        <v>1.0007000034288153E-16</v>
      </c>
      <c r="V267" s="11">
        <f t="shared" si="54"/>
        <v>2.2924496912301185E+48</v>
      </c>
      <c r="W267" s="1">
        <f t="shared" si="55"/>
        <v>8.5179986282444936E+47</v>
      </c>
      <c r="X267">
        <f t="shared" si="62"/>
        <v>48.360299813672093</v>
      </c>
      <c r="Y267">
        <f t="shared" si="63"/>
        <v>47.930337565798084</v>
      </c>
      <c r="AA267" s="10">
        <f t="shared" si="64"/>
        <v>1989.6285308635588</v>
      </c>
    </row>
    <row r="268" spans="1:27" x14ac:dyDescent="0.25">
      <c r="A268" s="2">
        <v>1</v>
      </c>
      <c r="B268" s="2">
        <v>9.3056330000000003</v>
      </c>
      <c r="C268" s="6">
        <v>3.7502769151539925</v>
      </c>
      <c r="D268" s="2">
        <v>-9.5000000000000001E-2</v>
      </c>
      <c r="E268" s="2">
        <v>4488</v>
      </c>
      <c r="F268" s="2">
        <v>9.4399999999999996E-4</v>
      </c>
      <c r="G268" s="2">
        <v>-0.51429999999999998</v>
      </c>
      <c r="H268" s="2">
        <v>7.1479999999999997</v>
      </c>
      <c r="I268" s="2">
        <v>20029</v>
      </c>
      <c r="J268" s="2">
        <v>0.97760000000000002</v>
      </c>
      <c r="K268" s="2">
        <v>691.5</v>
      </c>
      <c r="L268" s="2">
        <v>9.9309999999999996E-2</v>
      </c>
      <c r="M268" s="2">
        <v>0.2671</v>
      </c>
      <c r="N268">
        <f t="shared" si="56"/>
        <v>9.4399999999999998E-7</v>
      </c>
      <c r="O268" s="7">
        <f t="shared" si="52"/>
        <v>2021310351.015347</v>
      </c>
      <c r="P268" s="7">
        <f t="shared" si="57"/>
        <v>6.3787703533201912E+16</v>
      </c>
      <c r="Q268">
        <f t="shared" si="58"/>
        <v>65734496</v>
      </c>
      <c r="R268">
        <f t="shared" si="59"/>
        <v>48151911000000</v>
      </c>
      <c r="S268" s="1">
        <f t="shared" si="60"/>
        <v>1.9890000000000001E+33</v>
      </c>
      <c r="T268" s="1">
        <f t="shared" si="61"/>
        <v>1.9444464E+33</v>
      </c>
      <c r="U268" s="8">
        <f t="shared" si="53"/>
        <v>9.8501512974348543E-17</v>
      </c>
      <c r="V268" s="11">
        <f t="shared" si="54"/>
        <v>2.2955954012588723E+48</v>
      </c>
      <c r="W268" s="1">
        <f t="shared" si="55"/>
        <v>8.5352145001504528E+47</v>
      </c>
      <c r="X268">
        <f t="shared" si="62"/>
        <v>48.360895346058413</v>
      </c>
      <c r="Y268">
        <f t="shared" si="63"/>
        <v>47.931214439927743</v>
      </c>
      <c r="AA268" s="10">
        <f t="shared" si="64"/>
        <v>2021.3103510153469</v>
      </c>
    </row>
    <row r="269" spans="1:27" x14ac:dyDescent="0.25">
      <c r="A269" s="2">
        <v>1</v>
      </c>
      <c r="B269" s="2">
        <v>9.3123889999999996</v>
      </c>
      <c r="C269" s="6">
        <v>3.750354088762708</v>
      </c>
      <c r="D269" s="2">
        <v>-9.4E-2</v>
      </c>
      <c r="E269" s="2">
        <v>4487</v>
      </c>
      <c r="F269" s="2">
        <v>9.4399999999999996E-4</v>
      </c>
      <c r="G269" s="2">
        <v>-0.51429999999999998</v>
      </c>
      <c r="H269" s="2">
        <v>7.149</v>
      </c>
      <c r="I269" s="2">
        <v>20046</v>
      </c>
      <c r="J269" s="2">
        <v>0.97760000000000002</v>
      </c>
      <c r="K269" s="2">
        <v>691.8</v>
      </c>
      <c r="L269" s="2">
        <v>9.9280000000000007E-2</v>
      </c>
      <c r="M269" s="2">
        <v>0.26689999999999997</v>
      </c>
      <c r="N269">
        <f t="shared" si="56"/>
        <v>9.4399999999999998E-7</v>
      </c>
      <c r="O269" s="7">
        <f t="shared" si="52"/>
        <v>2053000239.3357172</v>
      </c>
      <c r="P269" s="7">
        <f t="shared" si="57"/>
        <v>6.4787760352860832E+16</v>
      </c>
      <c r="Q269">
        <f t="shared" si="58"/>
        <v>65734496</v>
      </c>
      <c r="R269">
        <f t="shared" si="59"/>
        <v>48172801199999.992</v>
      </c>
      <c r="S269" s="1">
        <f t="shared" si="60"/>
        <v>1.9890000000000001E+33</v>
      </c>
      <c r="T269" s="1">
        <f t="shared" si="61"/>
        <v>1.9444464E+33</v>
      </c>
      <c r="U269" s="8">
        <f t="shared" si="53"/>
        <v>9.6981054337405251E-17</v>
      </c>
      <c r="V269" s="11">
        <f t="shared" si="54"/>
        <v>2.293876497925844E+48</v>
      </c>
      <c r="W269" s="1">
        <f t="shared" si="55"/>
        <v>8.5326361451509126E+47</v>
      </c>
      <c r="X269">
        <f t="shared" si="62"/>
        <v>48.360570031824544</v>
      </c>
      <c r="Y269">
        <f t="shared" si="63"/>
        <v>47.931083226527711</v>
      </c>
      <c r="AA269" s="10">
        <f t="shared" si="64"/>
        <v>2053.0002393357172</v>
      </c>
    </row>
    <row r="270" spans="1:27" x14ac:dyDescent="0.25">
      <c r="A270" s="2">
        <v>1</v>
      </c>
      <c r="B270" s="2">
        <v>9.3190410000000004</v>
      </c>
      <c r="C270" s="6">
        <v>3.7504312486602021</v>
      </c>
      <c r="D270" s="2">
        <v>-9.2999999999999999E-2</v>
      </c>
      <c r="E270" s="2">
        <v>4487</v>
      </c>
      <c r="F270" s="2">
        <v>9.4499999999999998E-4</v>
      </c>
      <c r="G270" s="2">
        <v>-0.51429999999999998</v>
      </c>
      <c r="H270" s="2">
        <v>7.149</v>
      </c>
      <c r="I270" s="2">
        <v>20064</v>
      </c>
      <c r="J270" s="2">
        <v>0.97760000000000002</v>
      </c>
      <c r="K270" s="2">
        <v>692.1</v>
      </c>
      <c r="L270" s="2">
        <v>9.9269999999999997E-2</v>
      </c>
      <c r="M270" s="2">
        <v>0.26669999999999999</v>
      </c>
      <c r="N270">
        <f t="shared" si="56"/>
        <v>9.4499999999999995E-7</v>
      </c>
      <c r="O270" s="7">
        <f t="shared" si="52"/>
        <v>2084687680.8095765</v>
      </c>
      <c r="P270" s="7">
        <f t="shared" si="57"/>
        <v>6.5787739955916288E+16</v>
      </c>
      <c r="Q270">
        <f t="shared" si="58"/>
        <v>65804130</v>
      </c>
      <c r="R270">
        <f t="shared" si="59"/>
        <v>48193691400000</v>
      </c>
      <c r="S270" s="1">
        <f t="shared" si="60"/>
        <v>1.9890000000000001E+33</v>
      </c>
      <c r="T270" s="1">
        <f t="shared" si="61"/>
        <v>1.9444464E+33</v>
      </c>
      <c r="U270" s="8">
        <f t="shared" si="53"/>
        <v>9.55069335318387E-17</v>
      </c>
      <c r="V270" s="11">
        <f t="shared" si="54"/>
        <v>2.2970164328578911E+48</v>
      </c>
      <c r="W270" s="1">
        <f t="shared" si="55"/>
        <v>8.5498620656094053E+47</v>
      </c>
      <c r="X270">
        <f t="shared" si="62"/>
        <v>48.361164102149303</v>
      </c>
      <c r="Y270">
        <f t="shared" si="63"/>
        <v>47.931959108338944</v>
      </c>
      <c r="AA270" s="10">
        <f t="shared" si="64"/>
        <v>2084.6876808095767</v>
      </c>
    </row>
    <row r="271" spans="1:27" x14ac:dyDescent="0.25">
      <c r="A271" s="2">
        <v>1</v>
      </c>
      <c r="B271" s="2">
        <v>9.3255940000000006</v>
      </c>
      <c r="C271" s="6">
        <v>3.7505083948513462</v>
      </c>
      <c r="D271" s="2">
        <v>-9.1999999999999998E-2</v>
      </c>
      <c r="E271" s="2">
        <v>4486</v>
      </c>
      <c r="F271" s="2">
        <v>9.459999999999999E-4</v>
      </c>
      <c r="G271" s="2">
        <v>-0.51429999999999998</v>
      </c>
      <c r="H271" s="2">
        <v>7.15</v>
      </c>
      <c r="I271" s="2">
        <v>20081</v>
      </c>
      <c r="J271" s="2">
        <v>0.97760000000000002</v>
      </c>
      <c r="K271" s="2">
        <v>692.4</v>
      </c>
      <c r="L271" s="2">
        <v>9.9250000000000005E-2</v>
      </c>
      <c r="M271" s="2">
        <v>0.26650000000000001</v>
      </c>
      <c r="N271">
        <f t="shared" si="56"/>
        <v>9.4599999999999992E-7</v>
      </c>
      <c r="O271" s="7">
        <f t="shared" si="52"/>
        <v>2116381711.6750112</v>
      </c>
      <c r="P271" s="7">
        <f t="shared" si="57"/>
        <v>6.6787927504355336E+16</v>
      </c>
      <c r="Q271">
        <f t="shared" si="58"/>
        <v>65873763.999999993</v>
      </c>
      <c r="R271">
        <f t="shared" si="59"/>
        <v>48214581600000</v>
      </c>
      <c r="S271" s="1">
        <f t="shared" si="60"/>
        <v>1.9890000000000001E+33</v>
      </c>
      <c r="T271" s="1">
        <f t="shared" si="61"/>
        <v>1.9444464E+33</v>
      </c>
      <c r="U271" s="8">
        <f t="shared" si="53"/>
        <v>9.4076662384378532E-17</v>
      </c>
      <c r="V271" s="11">
        <f t="shared" si="54"/>
        <v>2.3001542209353503E+48</v>
      </c>
      <c r="W271" s="1">
        <f t="shared" si="55"/>
        <v>8.5662403912883112E+47</v>
      </c>
      <c r="X271">
        <f t="shared" si="62"/>
        <v>48.361756955607078</v>
      </c>
      <c r="Y271">
        <f t="shared" si="63"/>
        <v>47.932790257679642</v>
      </c>
      <c r="AA271" s="10">
        <f t="shared" si="64"/>
        <v>2116.381711675011</v>
      </c>
    </row>
    <row r="272" spans="1:27" x14ac:dyDescent="0.25">
      <c r="A272" s="2">
        <v>1</v>
      </c>
      <c r="B272" s="2">
        <v>9.3320480000000003</v>
      </c>
      <c r="C272" s="6">
        <v>3.7505855273410087</v>
      </c>
      <c r="D272" s="2">
        <v>-9.0999999999999998E-2</v>
      </c>
      <c r="E272" s="2">
        <v>4485</v>
      </c>
      <c r="F272" s="2">
        <v>9.4699999999999993E-4</v>
      </c>
      <c r="G272" s="2">
        <v>-0.51429999999999998</v>
      </c>
      <c r="H272" s="2">
        <v>7.15</v>
      </c>
      <c r="I272" s="2">
        <v>20098</v>
      </c>
      <c r="J272" s="2">
        <v>0.97760000000000002</v>
      </c>
      <c r="K272" s="2">
        <v>692.6</v>
      </c>
      <c r="L272" s="2">
        <v>9.9229999999999999E-2</v>
      </c>
      <c r="M272" s="2">
        <v>0.26630000000000004</v>
      </c>
      <c r="N272">
        <f t="shared" si="56"/>
        <v>9.4699999999999989E-7</v>
      </c>
      <c r="O272" s="7">
        <f t="shared" si="52"/>
        <v>2148067874.2462511</v>
      </c>
      <c r="P272" s="7">
        <f t="shared" si="57"/>
        <v>6.7787866748313496E+16</v>
      </c>
      <c r="Q272">
        <f t="shared" si="58"/>
        <v>65943398</v>
      </c>
      <c r="R272">
        <f t="shared" si="59"/>
        <v>48228508400000</v>
      </c>
      <c r="S272" s="1">
        <f t="shared" si="60"/>
        <v>1.9890000000000001E+33</v>
      </c>
      <c r="T272" s="1">
        <f t="shared" si="61"/>
        <v>1.9444464E+33</v>
      </c>
      <c r="U272" s="8">
        <f t="shared" si="53"/>
        <v>9.268893695251011E-17</v>
      </c>
      <c r="V272" s="11">
        <f t="shared" si="54"/>
        <v>2.3032898505848828E+48</v>
      </c>
      <c r="W272" s="1">
        <f t="shared" si="55"/>
        <v>8.5826305622808071E+47</v>
      </c>
      <c r="X272">
        <f t="shared" si="62"/>
        <v>48.362348593886388</v>
      </c>
      <c r="Y272">
        <f t="shared" si="63"/>
        <v>47.933620418802924</v>
      </c>
      <c r="AA272" s="10">
        <f t="shared" si="64"/>
        <v>2148.067874246251</v>
      </c>
    </row>
    <row r="273" spans="1:27" x14ac:dyDescent="0.25">
      <c r="A273" s="2">
        <v>1</v>
      </c>
      <c r="B273" s="2">
        <v>9.3384070000000001</v>
      </c>
      <c r="C273" s="6">
        <v>3.7507397512353506</v>
      </c>
      <c r="D273" s="2">
        <v>-0.09</v>
      </c>
      <c r="E273" s="2">
        <v>4485</v>
      </c>
      <c r="F273" s="2">
        <v>9.4699999999999993E-4</v>
      </c>
      <c r="G273" s="2">
        <v>-0.51429999999999998</v>
      </c>
      <c r="H273" s="2">
        <v>7.15</v>
      </c>
      <c r="I273" s="2">
        <v>20116</v>
      </c>
      <c r="J273" s="2">
        <v>0.97760000000000002</v>
      </c>
      <c r="K273" s="2">
        <v>692.9</v>
      </c>
      <c r="L273" s="2">
        <v>9.9209999999999993E-2</v>
      </c>
      <c r="M273" s="2">
        <v>0.2661</v>
      </c>
      <c r="N273">
        <f t="shared" si="56"/>
        <v>9.4699999999999989E-7</v>
      </c>
      <c r="O273" s="7">
        <f t="shared" si="52"/>
        <v>2179751574.3011394</v>
      </c>
      <c r="P273" s="7">
        <f t="shared" si="57"/>
        <v>6.8787728281165632E+16</v>
      </c>
      <c r="Q273">
        <f t="shared" si="58"/>
        <v>65943398</v>
      </c>
      <c r="R273">
        <f t="shared" si="59"/>
        <v>48249398599999.992</v>
      </c>
      <c r="S273" s="1">
        <f t="shared" si="60"/>
        <v>1.9890000000000001E+33</v>
      </c>
      <c r="T273" s="1">
        <f t="shared" si="61"/>
        <v>1.9444464E+33</v>
      </c>
      <c r="U273" s="8">
        <f t="shared" si="53"/>
        <v>9.1341660266747737E-17</v>
      </c>
      <c r="V273" s="11">
        <f t="shared" si="54"/>
        <v>2.3015600046587957E+48</v>
      </c>
      <c r="W273" s="1">
        <f t="shared" si="55"/>
        <v>8.5809007163547196E+47</v>
      </c>
      <c r="X273">
        <f t="shared" si="62"/>
        <v>48.362022301998834</v>
      </c>
      <c r="Y273">
        <f t="shared" si="63"/>
        <v>47.933532877080815</v>
      </c>
      <c r="AA273" s="10">
        <f t="shared" si="64"/>
        <v>2179.7515743011395</v>
      </c>
    </row>
    <row r="274" spans="1:27" x14ac:dyDescent="0.25">
      <c r="A274" s="2">
        <v>1</v>
      </c>
      <c r="B274" s="2">
        <v>9.3446750000000005</v>
      </c>
      <c r="C274" s="6">
        <v>3.7508168426497543</v>
      </c>
      <c r="D274" s="2">
        <v>-8.8999999999999996E-2</v>
      </c>
      <c r="E274" s="2">
        <v>4484</v>
      </c>
      <c r="F274" s="2">
        <v>9.4799999999999995E-4</v>
      </c>
      <c r="G274" s="2">
        <v>-0.51429999999999998</v>
      </c>
      <c r="H274" s="2">
        <v>7.1509999999999998</v>
      </c>
      <c r="I274" s="2">
        <v>20133</v>
      </c>
      <c r="J274" s="2">
        <v>0.97760000000000002</v>
      </c>
      <c r="K274" s="2">
        <v>693.2</v>
      </c>
      <c r="L274" s="2">
        <v>9.919E-2</v>
      </c>
      <c r="M274" s="2">
        <v>0.26589999999999997</v>
      </c>
      <c r="N274">
        <f t="shared" si="56"/>
        <v>9.4799999999999997E-7</v>
      </c>
      <c r="O274" s="7">
        <f t="shared" si="52"/>
        <v>2211439181.4934773</v>
      </c>
      <c r="P274" s="7">
        <f t="shared" si="57"/>
        <v>6.978771311389856E+16</v>
      </c>
      <c r="Q274">
        <f t="shared" si="58"/>
        <v>66013031.999999993</v>
      </c>
      <c r="R274">
        <f t="shared" si="59"/>
        <v>48270288800000.008</v>
      </c>
      <c r="S274" s="1">
        <f t="shared" si="60"/>
        <v>1.9890000000000001E+33</v>
      </c>
      <c r="T274" s="1">
        <f t="shared" si="61"/>
        <v>1.9444464E+33</v>
      </c>
      <c r="U274" s="8">
        <f t="shared" si="53"/>
        <v>9.0032829947085048E-17</v>
      </c>
      <c r="V274" s="11">
        <f t="shared" si="54"/>
        <v>2.3046898090604793E+48</v>
      </c>
      <c r="W274" s="1">
        <f t="shared" si="55"/>
        <v>8.5972990658408793E+47</v>
      </c>
      <c r="X274">
        <f t="shared" si="62"/>
        <v>48.3626124814486</v>
      </c>
      <c r="Y274">
        <f t="shared" si="63"/>
        <v>47.934362034378751</v>
      </c>
      <c r="AA274" s="10">
        <f t="shared" si="64"/>
        <v>2211.4391814934775</v>
      </c>
    </row>
    <row r="275" spans="1:27" x14ac:dyDescent="0.25">
      <c r="A275" s="2">
        <v>1</v>
      </c>
      <c r="B275" s="2">
        <v>9.350854</v>
      </c>
      <c r="C275" s="6">
        <v>3.7508939203821252</v>
      </c>
      <c r="D275" s="2">
        <v>-8.8999999999999996E-2</v>
      </c>
      <c r="E275" s="2">
        <v>4483</v>
      </c>
      <c r="F275" s="2">
        <v>9.4899999999999997E-4</v>
      </c>
      <c r="G275" s="2">
        <v>-0.51429999999999998</v>
      </c>
      <c r="H275" s="2">
        <v>7.1509999999999998</v>
      </c>
      <c r="I275" s="2">
        <v>20151</v>
      </c>
      <c r="J275" s="2">
        <v>0.97760000000000002</v>
      </c>
      <c r="K275" s="2">
        <v>693.5</v>
      </c>
      <c r="L275" s="2">
        <v>9.9170000000000008E-2</v>
      </c>
      <c r="M275" s="2">
        <v>0.26569999999999999</v>
      </c>
      <c r="N275">
        <f t="shared" si="56"/>
        <v>9.4899999999999993E-7</v>
      </c>
      <c r="O275" s="7">
        <f t="shared" si="52"/>
        <v>2243127708.1210604</v>
      </c>
      <c r="P275" s="7">
        <f t="shared" si="57"/>
        <v>7.0787726961801176E+16</v>
      </c>
      <c r="Q275">
        <f t="shared" si="58"/>
        <v>66082666</v>
      </c>
      <c r="R275">
        <f t="shared" si="59"/>
        <v>48291179000000</v>
      </c>
      <c r="S275" s="1">
        <f t="shared" si="60"/>
        <v>1.9890000000000001E+33</v>
      </c>
      <c r="T275" s="1">
        <f t="shared" si="61"/>
        <v>1.9444464E+33</v>
      </c>
      <c r="U275" s="8">
        <f t="shared" si="53"/>
        <v>8.8760941717625E-17</v>
      </c>
      <c r="V275" s="11">
        <f t="shared" si="54"/>
        <v>2.3078174280297766E+48</v>
      </c>
      <c r="W275" s="1">
        <f t="shared" si="55"/>
        <v>8.613709233636168E+47</v>
      </c>
      <c r="X275">
        <f t="shared" si="62"/>
        <v>48.363201448705766</v>
      </c>
      <c r="Y275">
        <f t="shared" si="63"/>
        <v>47.935190207528898</v>
      </c>
      <c r="AA275" s="10">
        <f t="shared" si="64"/>
        <v>2243.1277081210606</v>
      </c>
    </row>
    <row r="276" spans="1:27" x14ac:dyDescent="0.25">
      <c r="A276" s="2">
        <v>1</v>
      </c>
      <c r="B276" s="2">
        <v>9.3569469999999999</v>
      </c>
      <c r="C276" s="6">
        <v>3.7509709844373189</v>
      </c>
      <c r="D276" s="2">
        <v>-8.7999999999999995E-2</v>
      </c>
      <c r="E276" s="2">
        <v>4483</v>
      </c>
      <c r="F276" s="2">
        <v>9.4899999999999997E-4</v>
      </c>
      <c r="G276" s="2">
        <v>-0.51429999999999998</v>
      </c>
      <c r="H276" s="2">
        <v>7.1520000000000001</v>
      </c>
      <c r="I276" s="2">
        <v>20169</v>
      </c>
      <c r="J276" s="2">
        <v>0.97760000000000002</v>
      </c>
      <c r="K276" s="2">
        <v>693.8</v>
      </c>
      <c r="L276" s="2">
        <v>9.9150000000000002E-2</v>
      </c>
      <c r="M276" s="2">
        <v>0.26550000000000001</v>
      </c>
      <c r="N276">
        <f t="shared" si="56"/>
        <v>9.4899999999999993E-7</v>
      </c>
      <c r="O276" s="7">
        <f t="shared" si="52"/>
        <v>2274819801.6251888</v>
      </c>
      <c r="P276" s="7">
        <f t="shared" si="57"/>
        <v>7.1787853371767056E+16</v>
      </c>
      <c r="Q276">
        <f t="shared" si="58"/>
        <v>66082666</v>
      </c>
      <c r="R276">
        <f t="shared" si="59"/>
        <v>48312069200000</v>
      </c>
      <c r="S276" s="1">
        <f t="shared" si="60"/>
        <v>1.9890000000000001E+33</v>
      </c>
      <c r="T276" s="1">
        <f t="shared" si="61"/>
        <v>1.9444464E+33</v>
      </c>
      <c r="U276" s="8">
        <f t="shared" si="53"/>
        <v>8.7524351433673821E-17</v>
      </c>
      <c r="V276" s="11">
        <f t="shared" si="54"/>
        <v>2.3060802677527502E+48</v>
      </c>
      <c r="W276" s="1">
        <f t="shared" si="55"/>
        <v>8.6119720733591401E+47</v>
      </c>
      <c r="X276">
        <f t="shared" si="62"/>
        <v>48.362874419712973</v>
      </c>
      <c r="Y276">
        <f t="shared" si="63"/>
        <v>47.935102612836808</v>
      </c>
      <c r="AA276" s="10">
        <f t="shared" si="64"/>
        <v>2274.819801625189</v>
      </c>
    </row>
    <row r="277" spans="1:27" x14ac:dyDescent="0.25">
      <c r="A277" s="2">
        <v>1</v>
      </c>
      <c r="B277" s="2">
        <v>9.3629549999999995</v>
      </c>
      <c r="C277" s="6">
        <v>3.751048034820188</v>
      </c>
      <c r="D277" s="2">
        <v>-8.6999999999999994E-2</v>
      </c>
      <c r="E277" s="2">
        <v>4482</v>
      </c>
      <c r="F277" s="2">
        <v>9.5E-4</v>
      </c>
      <c r="G277" s="2">
        <v>-0.51429999999999998</v>
      </c>
      <c r="H277" s="2">
        <v>7.1520000000000001</v>
      </c>
      <c r="I277" s="2">
        <v>20187</v>
      </c>
      <c r="J277" s="2">
        <v>0.97760000000000002</v>
      </c>
      <c r="K277" s="2">
        <v>694.1</v>
      </c>
      <c r="L277" s="2">
        <v>9.9129999999999996E-2</v>
      </c>
      <c r="M277" s="2">
        <v>0.26530000000000004</v>
      </c>
      <c r="N277">
        <f t="shared" si="56"/>
        <v>9.5000000000000001E-7</v>
      </c>
      <c r="O277" s="7">
        <f t="shared" si="52"/>
        <v>2306508184.426609</v>
      </c>
      <c r="P277" s="7">
        <f t="shared" si="57"/>
        <v>7.2787862680861152E+16</v>
      </c>
      <c r="Q277">
        <f t="shared" si="58"/>
        <v>66152300</v>
      </c>
      <c r="R277">
        <f t="shared" si="59"/>
        <v>48332959400000</v>
      </c>
      <c r="S277" s="1">
        <f t="shared" si="60"/>
        <v>1.9890000000000001E+33</v>
      </c>
      <c r="T277" s="1">
        <f t="shared" si="61"/>
        <v>1.9444464E+33</v>
      </c>
      <c r="U277" s="8">
        <f t="shared" si="53"/>
        <v>8.6321882189730624E-17</v>
      </c>
      <c r="V277" s="11">
        <f t="shared" si="54"/>
        <v>2.3092020267541796E+48</v>
      </c>
      <c r="W277" s="1">
        <f t="shared" si="55"/>
        <v>8.6283903849280731E+47</v>
      </c>
      <c r="X277">
        <f t="shared" si="62"/>
        <v>48.363461930000923</v>
      </c>
      <c r="Y277">
        <f t="shared" si="63"/>
        <v>47.935929786196922</v>
      </c>
      <c r="AA277" s="10">
        <f t="shared" si="64"/>
        <v>2306.5081844266092</v>
      </c>
    </row>
    <row r="278" spans="1:27" x14ac:dyDescent="0.25">
      <c r="A278" s="2">
        <v>1</v>
      </c>
      <c r="B278" s="2">
        <v>9.3688800000000008</v>
      </c>
      <c r="C278" s="6">
        <v>3.7511250715355837</v>
      </c>
      <c r="D278" s="2">
        <v>-8.5999999999999993E-2</v>
      </c>
      <c r="E278" s="2">
        <v>4481</v>
      </c>
      <c r="F278" s="2">
        <v>9.5099999999999991E-4</v>
      </c>
      <c r="G278" s="2">
        <v>-0.51429999999999998</v>
      </c>
      <c r="H278" s="2">
        <v>7.1520000000000001</v>
      </c>
      <c r="I278" s="2">
        <v>20205</v>
      </c>
      <c r="J278" s="2">
        <v>0.97760000000000002</v>
      </c>
      <c r="K278" s="2">
        <v>694.4</v>
      </c>
      <c r="L278" s="2">
        <v>9.9110000000000004E-2</v>
      </c>
      <c r="M278" s="2">
        <v>0.2651</v>
      </c>
      <c r="N278">
        <f t="shared" si="56"/>
        <v>9.5099999999999987E-7</v>
      </c>
      <c r="O278" s="7">
        <f t="shared" si="52"/>
        <v>2338191083.3218484</v>
      </c>
      <c r="P278" s="7">
        <f t="shared" si="57"/>
        <v>7.3787698931037568E+16</v>
      </c>
      <c r="Q278">
        <f t="shared" si="58"/>
        <v>66221933.999999993</v>
      </c>
      <c r="R278">
        <f t="shared" si="59"/>
        <v>48353849600000</v>
      </c>
      <c r="S278" s="1">
        <f t="shared" si="60"/>
        <v>1.9890000000000001E+33</v>
      </c>
      <c r="T278" s="1">
        <f t="shared" si="61"/>
        <v>1.9444464E+33</v>
      </c>
      <c r="U278" s="8">
        <f t="shared" si="53"/>
        <v>8.5152205560060759E-17</v>
      </c>
      <c r="V278" s="11">
        <f t="shared" si="54"/>
        <v>2.3123215733187599E+48</v>
      </c>
      <c r="W278" s="1">
        <f t="shared" si="55"/>
        <v>8.644820487801671E+47</v>
      </c>
      <c r="X278">
        <f t="shared" si="62"/>
        <v>48.36404823104882</v>
      </c>
      <c r="Y278">
        <f t="shared" si="63"/>
        <v>47.936755979453018</v>
      </c>
      <c r="AA278" s="10">
        <f t="shared" si="64"/>
        <v>2338.1910833218485</v>
      </c>
    </row>
    <row r="279" spans="1:27" x14ac:dyDescent="0.25">
      <c r="A279" s="2">
        <v>1</v>
      </c>
      <c r="B279" s="2">
        <v>9.3747260000000008</v>
      </c>
      <c r="C279" s="6">
        <v>3.7512020945883533</v>
      </c>
      <c r="D279" s="2">
        <v>-8.5000000000000006E-2</v>
      </c>
      <c r="E279" s="2">
        <v>4481</v>
      </c>
      <c r="F279" s="2">
        <v>9.5099999999999991E-4</v>
      </c>
      <c r="G279" s="2">
        <v>-0.51429999999999998</v>
      </c>
      <c r="H279" s="2">
        <v>7.1529999999999996</v>
      </c>
      <c r="I279" s="2">
        <v>20223</v>
      </c>
      <c r="J279" s="2">
        <v>0.97760000000000002</v>
      </c>
      <c r="K279" s="2">
        <v>694.7</v>
      </c>
      <c r="L279" s="2">
        <v>9.9089999999999998E-2</v>
      </c>
      <c r="M279" s="2">
        <v>0.26489999999999997</v>
      </c>
      <c r="N279">
        <f t="shared" si="56"/>
        <v>9.5099999999999987E-7</v>
      </c>
      <c r="O279" s="7">
        <f t="shared" si="52"/>
        <v>2369878058.1294956</v>
      </c>
      <c r="P279" s="7">
        <f t="shared" si="57"/>
        <v>7.4787663807227376E+16</v>
      </c>
      <c r="Q279">
        <f t="shared" si="58"/>
        <v>66221933.999999993</v>
      </c>
      <c r="R279">
        <f t="shared" si="59"/>
        <v>48374739800000.008</v>
      </c>
      <c r="S279" s="1">
        <f t="shared" si="60"/>
        <v>1.9890000000000001E+33</v>
      </c>
      <c r="T279" s="1">
        <f t="shared" si="61"/>
        <v>1.9444464E+33</v>
      </c>
      <c r="U279" s="8">
        <f t="shared" si="53"/>
        <v>8.4013659303158871E-17</v>
      </c>
      <c r="V279" s="11">
        <f t="shared" si="54"/>
        <v>2.3105770832596734E+48</v>
      </c>
      <c r="W279" s="1">
        <f t="shared" si="55"/>
        <v>8.6430759977425841E+47</v>
      </c>
      <c r="X279">
        <f t="shared" si="62"/>
        <v>48.363720461612964</v>
      </c>
      <c r="Y279">
        <f t="shared" si="63"/>
        <v>47.936668331726807</v>
      </c>
      <c r="AA279" s="10">
        <f t="shared" si="64"/>
        <v>2369.8780581294955</v>
      </c>
    </row>
    <row r="280" spans="1:27" x14ac:dyDescent="0.25">
      <c r="A280" s="2">
        <v>1</v>
      </c>
      <c r="B280" s="2">
        <v>9.3804949999999998</v>
      </c>
      <c r="C280" s="6">
        <v>3.7512791039833422</v>
      </c>
      <c r="D280" s="2">
        <v>-8.4000000000000005E-2</v>
      </c>
      <c r="E280" s="2">
        <v>4480</v>
      </c>
      <c r="F280" s="2">
        <v>9.5199999999999994E-4</v>
      </c>
      <c r="G280" s="2">
        <v>-0.51429999999999998</v>
      </c>
      <c r="H280" s="2">
        <v>7.1529999999999996</v>
      </c>
      <c r="I280" s="2">
        <v>20241</v>
      </c>
      <c r="J280" s="2">
        <v>0.97760000000000002</v>
      </c>
      <c r="K280" s="2">
        <v>695</v>
      </c>
      <c r="L280" s="2">
        <v>9.9069999999999991E-2</v>
      </c>
      <c r="M280" s="2">
        <v>0.26469999999999999</v>
      </c>
      <c r="N280">
        <f t="shared" si="56"/>
        <v>9.5199999999999995E-7</v>
      </c>
      <c r="O280" s="7">
        <f t="shared" si="52"/>
        <v>2401568618.6460342</v>
      </c>
      <c r="P280" s="7">
        <f t="shared" si="57"/>
        <v>7.5787741839784096E+16</v>
      </c>
      <c r="Q280">
        <f t="shared" si="58"/>
        <v>66291567.999999993</v>
      </c>
      <c r="R280">
        <f t="shared" si="59"/>
        <v>48395630000000</v>
      </c>
      <c r="S280" s="1">
        <f t="shared" si="60"/>
        <v>1.9890000000000001E+33</v>
      </c>
      <c r="T280" s="1">
        <f t="shared" si="61"/>
        <v>1.9444464E+33</v>
      </c>
      <c r="U280" s="8">
        <f t="shared" si="53"/>
        <v>8.2905033909867526E-17</v>
      </c>
      <c r="V280" s="11">
        <f t="shared" si="54"/>
        <v>2.3136907351363667E+48</v>
      </c>
      <c r="W280" s="1">
        <f t="shared" si="55"/>
        <v>8.6595142096698086E+47</v>
      </c>
      <c r="X280">
        <f t="shared" si="62"/>
        <v>48.364305307511202</v>
      </c>
      <c r="Y280">
        <f t="shared" si="63"/>
        <v>47.937493529202399</v>
      </c>
      <c r="AA280" s="10">
        <f t="shared" si="64"/>
        <v>2401.5686186460343</v>
      </c>
    </row>
    <row r="281" spans="1:27" x14ac:dyDescent="0.25">
      <c r="A281" s="2">
        <v>1</v>
      </c>
      <c r="B281" s="2">
        <v>9.3861889999999999</v>
      </c>
      <c r="C281" s="6">
        <v>3.7513560997253936</v>
      </c>
      <c r="D281" s="2">
        <v>-8.3000000000000004E-2</v>
      </c>
      <c r="E281" s="2">
        <v>4479</v>
      </c>
      <c r="F281" s="2">
        <v>9.5299999999999996E-4</v>
      </c>
      <c r="G281" s="2">
        <v>-0.51429999999999998</v>
      </c>
      <c r="H281" s="2">
        <v>7.1539999999999999</v>
      </c>
      <c r="I281" s="2">
        <v>20259</v>
      </c>
      <c r="J281" s="2">
        <v>0.97760000000000002</v>
      </c>
      <c r="K281" s="2">
        <v>695.3</v>
      </c>
      <c r="L281" s="2">
        <v>9.9060000000000009E-2</v>
      </c>
      <c r="M281" s="2">
        <v>0.26450000000000001</v>
      </c>
      <c r="N281">
        <f t="shared" si="56"/>
        <v>9.5299999999999992E-7</v>
      </c>
      <c r="O281" s="7">
        <f t="shared" si="52"/>
        <v>2433262706.8389463</v>
      </c>
      <c r="P281" s="7">
        <f t="shared" si="57"/>
        <v>7.6787931197340736E+16</v>
      </c>
      <c r="Q281">
        <f t="shared" si="58"/>
        <v>66361202</v>
      </c>
      <c r="R281">
        <f t="shared" si="59"/>
        <v>48416520199999.992</v>
      </c>
      <c r="S281" s="1">
        <f t="shared" si="60"/>
        <v>1.9890000000000001E+33</v>
      </c>
      <c r="T281" s="1">
        <f t="shared" si="61"/>
        <v>1.9444464E+33</v>
      </c>
      <c r="U281" s="8">
        <f t="shared" si="53"/>
        <v>8.1825167174150684E-17</v>
      </c>
      <c r="V281" s="11">
        <f t="shared" si="54"/>
        <v>2.3168021475717521E+48</v>
      </c>
      <c r="W281" s="1">
        <f t="shared" si="55"/>
        <v>8.6768401035333756E+47</v>
      </c>
      <c r="X281">
        <f t="shared" si="62"/>
        <v>48.364888947088758</v>
      </c>
      <c r="Y281">
        <f t="shared" si="63"/>
        <v>47.93836159436399</v>
      </c>
      <c r="AA281" s="10">
        <f t="shared" si="64"/>
        <v>2433.2627068389465</v>
      </c>
    </row>
    <row r="282" spans="1:27" x14ac:dyDescent="0.25">
      <c r="A282" s="2">
        <v>1</v>
      </c>
      <c r="B282" s="2">
        <v>9.3918079999999993</v>
      </c>
      <c r="C282" s="6">
        <v>3.7514330818193473</v>
      </c>
      <c r="D282" s="2">
        <v>-8.2000000000000003E-2</v>
      </c>
      <c r="E282" s="2">
        <v>4479</v>
      </c>
      <c r="F282" s="2">
        <v>9.5399999999999999E-4</v>
      </c>
      <c r="G282" s="2">
        <v>-0.51429999999999998</v>
      </c>
      <c r="H282" s="2">
        <v>7.1539999999999999</v>
      </c>
      <c r="I282" s="2">
        <v>20277</v>
      </c>
      <c r="J282" s="2">
        <v>0.97760000000000002</v>
      </c>
      <c r="K282" s="2">
        <v>695.6</v>
      </c>
      <c r="L282" s="2">
        <v>9.9030000000000007E-2</v>
      </c>
      <c r="M282" s="2">
        <v>0.26430000000000003</v>
      </c>
      <c r="N282">
        <f t="shared" si="56"/>
        <v>9.5399999999999989E-7</v>
      </c>
      <c r="O282" s="7">
        <f t="shared" si="52"/>
        <v>2464949351.2315025</v>
      </c>
      <c r="P282" s="7">
        <f t="shared" si="57"/>
        <v>7.7787885646423264E+16</v>
      </c>
      <c r="Q282">
        <f t="shared" si="58"/>
        <v>66430836</v>
      </c>
      <c r="R282">
        <f t="shared" si="59"/>
        <v>48437410400000</v>
      </c>
      <c r="S282" s="1">
        <f t="shared" si="60"/>
        <v>1.9890000000000001E+33</v>
      </c>
      <c r="T282" s="1">
        <f t="shared" si="61"/>
        <v>1.9444464E+33</v>
      </c>
      <c r="U282" s="8">
        <f t="shared" si="53"/>
        <v>8.0773313928844282E-17</v>
      </c>
      <c r="V282" s="11">
        <f t="shared" si="54"/>
        <v>2.3199113089924889E+48</v>
      </c>
      <c r="W282" s="1">
        <f t="shared" si="55"/>
        <v>8.6924259148515382E+47</v>
      </c>
      <c r="X282">
        <f t="shared" si="62"/>
        <v>48.365471381980804</v>
      </c>
      <c r="Y282">
        <f t="shared" si="63"/>
        <v>47.939140997899067</v>
      </c>
      <c r="AA282" s="10">
        <f t="shared" si="64"/>
        <v>2464.9493512315025</v>
      </c>
    </row>
    <row r="283" spans="1:27" x14ac:dyDescent="0.25">
      <c r="A283" s="2">
        <v>1</v>
      </c>
      <c r="B283" s="2">
        <v>9.397354</v>
      </c>
      <c r="C283" s="6">
        <v>3.7515870050823104</v>
      </c>
      <c r="D283" s="2">
        <v>-8.1000000000000003E-2</v>
      </c>
      <c r="E283" s="2">
        <v>4478</v>
      </c>
      <c r="F283" s="2">
        <v>9.5399999999999999E-4</v>
      </c>
      <c r="G283" s="2">
        <v>-0.51429999999999998</v>
      </c>
      <c r="H283" s="2">
        <v>7.1550000000000002</v>
      </c>
      <c r="I283" s="2">
        <v>20295</v>
      </c>
      <c r="J283" s="2">
        <v>0.97760000000000002</v>
      </c>
      <c r="K283" s="2">
        <v>695.9</v>
      </c>
      <c r="L283" s="2">
        <v>9.9019999999999997E-2</v>
      </c>
      <c r="M283" s="2">
        <v>0.2641</v>
      </c>
      <c r="N283">
        <f t="shared" si="56"/>
        <v>9.5399999999999989E-7</v>
      </c>
      <c r="O283" s="7">
        <f t="shared" si="52"/>
        <v>2496628937.7758255</v>
      </c>
      <c r="P283" s="7">
        <f t="shared" si="57"/>
        <v>7.8787617366754384E+16</v>
      </c>
      <c r="Q283">
        <f t="shared" si="58"/>
        <v>66430836</v>
      </c>
      <c r="R283">
        <f t="shared" si="59"/>
        <v>48458300600000</v>
      </c>
      <c r="S283" s="1">
        <f t="shared" si="60"/>
        <v>1.9890000000000001E+33</v>
      </c>
      <c r="T283" s="1">
        <f t="shared" si="61"/>
        <v>1.9444464E+33</v>
      </c>
      <c r="U283" s="8">
        <f t="shared" si="53"/>
        <v>7.9748385814632729E-17</v>
      </c>
      <c r="V283" s="11">
        <f t="shared" si="54"/>
        <v>2.3181557953269629E+48</v>
      </c>
      <c r="W283" s="1">
        <f t="shared" si="55"/>
        <v>8.6915481580187748E+47</v>
      </c>
      <c r="X283">
        <f t="shared" si="62"/>
        <v>48.365142620056019</v>
      </c>
      <c r="Y283">
        <f t="shared" si="63"/>
        <v>47.939097140844559</v>
      </c>
      <c r="AA283" s="10">
        <f t="shared" si="64"/>
        <v>2496.6289377758253</v>
      </c>
    </row>
    <row r="284" spans="1:27" x14ac:dyDescent="0.25">
      <c r="A284" s="2">
        <v>1</v>
      </c>
      <c r="B284" s="2">
        <v>9.4028320000000001</v>
      </c>
      <c r="C284" s="6">
        <v>3.7516639462609866</v>
      </c>
      <c r="D284" s="2">
        <v>-0.08</v>
      </c>
      <c r="E284" s="2">
        <v>4477</v>
      </c>
      <c r="F284" s="2">
        <v>9.5500000000000001E-4</v>
      </c>
      <c r="G284" s="2">
        <v>-0.51429999999999998</v>
      </c>
      <c r="H284" s="2">
        <v>7.1550000000000002</v>
      </c>
      <c r="I284" s="2">
        <v>20313</v>
      </c>
      <c r="J284" s="2">
        <v>0.97760000000000002</v>
      </c>
      <c r="K284" s="2">
        <v>696.2</v>
      </c>
      <c r="L284" s="2">
        <v>9.8989999999999995E-2</v>
      </c>
      <c r="M284" s="2">
        <v>0.26389999999999997</v>
      </c>
      <c r="N284">
        <f t="shared" si="56"/>
        <v>9.5499999999999996E-7</v>
      </c>
      <c r="O284" s="7">
        <f t="shared" si="52"/>
        <v>2528319766.4559278</v>
      </c>
      <c r="P284" s="7">
        <f t="shared" si="57"/>
        <v>7.9787703861909584E+16</v>
      </c>
      <c r="Q284">
        <f t="shared" si="58"/>
        <v>66500470</v>
      </c>
      <c r="R284">
        <f t="shared" si="59"/>
        <v>48479190800000.008</v>
      </c>
      <c r="S284" s="1">
        <f t="shared" si="60"/>
        <v>1.9890000000000001E+33</v>
      </c>
      <c r="T284" s="1">
        <f t="shared" si="61"/>
        <v>1.9444464E+33</v>
      </c>
      <c r="U284" s="8">
        <f t="shared" si="53"/>
        <v>7.874879214539172E-17</v>
      </c>
      <c r="V284" s="11">
        <f t="shared" si="54"/>
        <v>2.3212590119086704E+48</v>
      </c>
      <c r="W284" s="1">
        <f t="shared" si="55"/>
        <v>8.7071401890427933E+47</v>
      </c>
      <c r="X284">
        <f t="shared" si="62"/>
        <v>48.365723602828446</v>
      </c>
      <c r="Y284">
        <f t="shared" si="63"/>
        <v>47.939875536860747</v>
      </c>
      <c r="AA284" s="10">
        <f t="shared" si="64"/>
        <v>2528.3197664559279</v>
      </c>
    </row>
    <row r="285" spans="1:27" x14ac:dyDescent="0.25">
      <c r="A285" s="2">
        <v>1</v>
      </c>
      <c r="B285" s="2">
        <v>9.4082419999999995</v>
      </c>
      <c r="C285" s="6">
        <v>3.7517408738109004</v>
      </c>
      <c r="D285" s="2">
        <v>-7.9000000000000001E-2</v>
      </c>
      <c r="E285" s="2">
        <v>4477</v>
      </c>
      <c r="F285" s="2">
        <v>9.5599999999999993E-4</v>
      </c>
      <c r="G285" s="2">
        <v>-0.51429999999999998</v>
      </c>
      <c r="H285" s="2">
        <v>7.1550000000000002</v>
      </c>
      <c r="I285" s="2">
        <v>20331</v>
      </c>
      <c r="J285" s="2">
        <v>0.97760000000000002</v>
      </c>
      <c r="K285" s="2">
        <v>696.5</v>
      </c>
      <c r="L285" s="2">
        <v>9.8970000000000002E-2</v>
      </c>
      <c r="M285" s="2">
        <v>0.26369999999999999</v>
      </c>
      <c r="N285">
        <f t="shared" si="56"/>
        <v>9.5599999999999983E-7</v>
      </c>
      <c r="O285" s="7">
        <f t="shared" si="52"/>
        <v>2560011993.7371664</v>
      </c>
      <c r="P285" s="7">
        <f t="shared" si="57"/>
        <v>8.078783449356E+16</v>
      </c>
      <c r="Q285">
        <f t="shared" si="58"/>
        <v>66570104</v>
      </c>
      <c r="R285">
        <f t="shared" si="59"/>
        <v>48500081000000</v>
      </c>
      <c r="S285" s="1">
        <f t="shared" si="60"/>
        <v>1.9890000000000001E+33</v>
      </c>
      <c r="T285" s="1">
        <f t="shared" si="61"/>
        <v>1.9444464E+33</v>
      </c>
      <c r="U285" s="8">
        <f t="shared" si="53"/>
        <v>7.777390428357688E-17</v>
      </c>
      <c r="V285" s="11">
        <f t="shared" si="54"/>
        <v>2.3243599504712703E+48</v>
      </c>
      <c r="W285" s="1">
        <f t="shared" si="55"/>
        <v>8.723621702621982E+47</v>
      </c>
      <c r="X285">
        <f t="shared" si="62"/>
        <v>48.366303383786537</v>
      </c>
      <c r="Y285">
        <f t="shared" si="63"/>
        <v>47.940696824258112</v>
      </c>
      <c r="AA285" s="10">
        <f t="shared" si="64"/>
        <v>2560.0119937371664</v>
      </c>
    </row>
    <row r="286" spans="1:27" x14ac:dyDescent="0.25">
      <c r="A286" s="2">
        <v>1</v>
      </c>
      <c r="B286" s="2">
        <v>9.4135849999999994</v>
      </c>
      <c r="C286" s="6">
        <v>3.7518177877368792</v>
      </c>
      <c r="D286" s="2">
        <v>-7.8E-2</v>
      </c>
      <c r="E286" s="2">
        <v>4476</v>
      </c>
      <c r="F286" s="2">
        <v>9.5699999999999995E-4</v>
      </c>
      <c r="G286" s="2">
        <v>-0.51429999999999998</v>
      </c>
      <c r="H286" s="2">
        <v>7.1559999999999997</v>
      </c>
      <c r="I286" s="2">
        <v>20350</v>
      </c>
      <c r="J286" s="2">
        <v>0.9788</v>
      </c>
      <c r="K286" s="2">
        <v>702.8</v>
      </c>
      <c r="L286" s="2">
        <v>9.6759999999999999E-2</v>
      </c>
      <c r="M286" s="2">
        <v>0.26430000000000003</v>
      </c>
      <c r="N286">
        <f t="shared" si="56"/>
        <v>9.569999999999999E-7</v>
      </c>
      <c r="O286" s="7">
        <f t="shared" si="52"/>
        <v>2591701618.8673735</v>
      </c>
      <c r="P286" s="7">
        <f t="shared" si="57"/>
        <v>8.1787883007569024E+16</v>
      </c>
      <c r="Q286">
        <f t="shared" si="58"/>
        <v>66639737.999999993</v>
      </c>
      <c r="R286">
        <f t="shared" si="59"/>
        <v>48938775200000</v>
      </c>
      <c r="S286" s="1">
        <f t="shared" si="60"/>
        <v>1.9890000000000001E+33</v>
      </c>
      <c r="T286" s="1">
        <f t="shared" si="61"/>
        <v>1.9468332E+33</v>
      </c>
      <c r="U286" s="8">
        <f t="shared" si="53"/>
        <v>7.6822936064968346E-17</v>
      </c>
      <c r="V286" s="11">
        <f t="shared" si="54"/>
        <v>2.3345248874093649E+48</v>
      </c>
      <c r="W286" s="1">
        <f t="shared" si="55"/>
        <v>8.546675297227776E+47</v>
      </c>
      <c r="X286">
        <f t="shared" si="62"/>
        <v>48.368198508126298</v>
      </c>
      <c r="Y286">
        <f t="shared" si="63"/>
        <v>47.931797204684429</v>
      </c>
      <c r="AA286" s="10">
        <f t="shared" si="64"/>
        <v>2591.7016188673733</v>
      </c>
    </row>
    <row r="287" spans="1:27" x14ac:dyDescent="0.25">
      <c r="A287" s="2">
        <v>1</v>
      </c>
      <c r="B287" s="2">
        <v>9.418863</v>
      </c>
      <c r="C287" s="6">
        <v>3.7518946880437474</v>
      </c>
      <c r="D287" s="2">
        <v>-7.6999999999999999E-2</v>
      </c>
      <c r="E287" s="2">
        <v>4476</v>
      </c>
      <c r="F287" s="2">
        <v>9.5699999999999995E-4</v>
      </c>
      <c r="G287" s="2">
        <v>-0.51429999999999998</v>
      </c>
      <c r="H287" s="2">
        <v>7.1559999999999997</v>
      </c>
      <c r="I287" s="2">
        <v>20369</v>
      </c>
      <c r="J287" s="2">
        <v>0.9788</v>
      </c>
      <c r="K287" s="2">
        <v>703.1</v>
      </c>
      <c r="L287" s="2">
        <v>9.6739999999999993E-2</v>
      </c>
      <c r="M287" s="2">
        <v>0.2641</v>
      </c>
      <c r="N287">
        <f t="shared" si="56"/>
        <v>9.569999999999999E-7</v>
      </c>
      <c r="O287" s="7">
        <f t="shared" si="52"/>
        <v>2623390853.290123</v>
      </c>
      <c r="P287" s="7">
        <f t="shared" si="57"/>
        <v>8.2787919191788384E+16</v>
      </c>
      <c r="Q287">
        <f t="shared" si="58"/>
        <v>66639737.999999993</v>
      </c>
      <c r="R287">
        <f t="shared" si="59"/>
        <v>48959665400000</v>
      </c>
      <c r="S287" s="1">
        <f t="shared" si="60"/>
        <v>1.9890000000000001E+33</v>
      </c>
      <c r="T287" s="1">
        <f t="shared" si="61"/>
        <v>1.9468332E+33</v>
      </c>
      <c r="U287" s="8">
        <f t="shared" si="53"/>
        <v>7.589495385943709E-17</v>
      </c>
      <c r="V287" s="11">
        <f t="shared" si="54"/>
        <v>2.3327583154173788E+48</v>
      </c>
      <c r="W287" s="1">
        <f t="shared" si="55"/>
        <v>8.5449087252357902E+47</v>
      </c>
      <c r="X287">
        <f t="shared" si="62"/>
        <v>48.367869746201514</v>
      </c>
      <c r="Y287">
        <f t="shared" si="63"/>
        <v>47.931707428047027</v>
      </c>
      <c r="AA287" s="10">
        <f t="shared" si="64"/>
        <v>2623.3908532901228</v>
      </c>
    </row>
    <row r="288" spans="1:27" x14ac:dyDescent="0.25">
      <c r="A288" s="2">
        <v>1</v>
      </c>
      <c r="B288" s="2">
        <v>9.4240779999999997</v>
      </c>
      <c r="C288" s="6">
        <v>3.7519715747363271</v>
      </c>
      <c r="D288" s="2">
        <v>-7.5999999999999998E-2</v>
      </c>
      <c r="E288" s="2">
        <v>4475</v>
      </c>
      <c r="F288" s="2">
        <v>9.5799999999999998E-4</v>
      </c>
      <c r="G288" s="2">
        <v>-0.51429999999999998</v>
      </c>
      <c r="H288" s="2">
        <v>7.157</v>
      </c>
      <c r="I288" s="2">
        <v>20387</v>
      </c>
      <c r="J288" s="2">
        <v>0.9788</v>
      </c>
      <c r="K288" s="2">
        <v>703.4</v>
      </c>
      <c r="L288" s="2">
        <v>9.672E-2</v>
      </c>
      <c r="M288" s="2">
        <v>0.26389999999999997</v>
      </c>
      <c r="N288">
        <f t="shared" si="56"/>
        <v>9.5799999999999998E-7</v>
      </c>
      <c r="O288" s="7">
        <f t="shared" si="52"/>
        <v>2655082376.2977705</v>
      </c>
      <c r="P288" s="7">
        <f t="shared" si="57"/>
        <v>8.3788027598254528E+16</v>
      </c>
      <c r="Q288">
        <f t="shared" si="58"/>
        <v>66709372</v>
      </c>
      <c r="R288">
        <f t="shared" si="59"/>
        <v>48980555600000</v>
      </c>
      <c r="S288" s="1">
        <f t="shared" si="60"/>
        <v>1.9890000000000001E+33</v>
      </c>
      <c r="T288" s="1">
        <f t="shared" si="61"/>
        <v>1.9468332E+33</v>
      </c>
      <c r="U288" s="8">
        <f t="shared" si="53"/>
        <v>7.4989058547912136E-17</v>
      </c>
      <c r="V288" s="11">
        <f t="shared" si="54"/>
        <v>2.3358657446948812E+48</v>
      </c>
      <c r="W288" s="1">
        <f t="shared" si="55"/>
        <v>8.5610054879457721E+47</v>
      </c>
      <c r="X288">
        <f t="shared" si="62"/>
        <v>48.368447877818042</v>
      </c>
      <c r="Y288">
        <f t="shared" si="63"/>
        <v>47.932524775450709</v>
      </c>
      <c r="AA288" s="10">
        <f t="shared" si="64"/>
        <v>2655.0823762977707</v>
      </c>
    </row>
    <row r="289" spans="1:27" x14ac:dyDescent="0.25">
      <c r="A289" s="2">
        <v>1</v>
      </c>
      <c r="B289" s="2">
        <v>9.4292289999999994</v>
      </c>
      <c r="C289" s="6">
        <v>3.7520484478194387</v>
      </c>
      <c r="D289" s="2">
        <v>-7.4999999999999997E-2</v>
      </c>
      <c r="E289" s="2">
        <v>4474</v>
      </c>
      <c r="F289" s="2">
        <v>9.59E-4</v>
      </c>
      <c r="G289" s="2">
        <v>-0.51429999999999998</v>
      </c>
      <c r="H289" s="2">
        <v>7.157</v>
      </c>
      <c r="I289" s="2">
        <v>20406</v>
      </c>
      <c r="J289" s="2">
        <v>0.9788</v>
      </c>
      <c r="K289" s="2">
        <v>703.7</v>
      </c>
      <c r="L289" s="2">
        <v>9.6700000000000008E-2</v>
      </c>
      <c r="M289" s="2">
        <v>0.26369999999999999</v>
      </c>
      <c r="N289">
        <f t="shared" si="56"/>
        <v>9.5900000000000005E-7</v>
      </c>
      <c r="O289" s="7">
        <f t="shared" si="52"/>
        <v>2686760779.6431122</v>
      </c>
      <c r="P289" s="7">
        <f t="shared" si="57"/>
        <v>8.4787721979665472E+16</v>
      </c>
      <c r="Q289">
        <f t="shared" si="58"/>
        <v>66779006</v>
      </c>
      <c r="R289">
        <f t="shared" si="59"/>
        <v>49001445800000</v>
      </c>
      <c r="S289" s="1">
        <f t="shared" si="60"/>
        <v>1.9890000000000001E+33</v>
      </c>
      <c r="T289" s="1">
        <f t="shared" si="61"/>
        <v>1.9468332E+33</v>
      </c>
      <c r="U289" s="8">
        <f t="shared" si="53"/>
        <v>7.4104895856106076E-17</v>
      </c>
      <c r="V289" s="11">
        <f t="shared" si="54"/>
        <v>2.3389708728065953E+48</v>
      </c>
      <c r="W289" s="1">
        <f t="shared" si="55"/>
        <v>8.5771135153734464E+47</v>
      </c>
      <c r="X289">
        <f t="shared" si="62"/>
        <v>48.369024813575663</v>
      </c>
      <c r="Y289">
        <f t="shared" si="63"/>
        <v>47.933341157865229</v>
      </c>
      <c r="AA289" s="10">
        <f t="shared" si="64"/>
        <v>2686.7607796431121</v>
      </c>
    </row>
    <row r="290" spans="1:27" x14ac:dyDescent="0.25">
      <c r="A290" s="2">
        <v>1</v>
      </c>
      <c r="B290" s="2">
        <v>9.4343210000000006</v>
      </c>
      <c r="C290" s="6">
        <v>3.7521253072978982</v>
      </c>
      <c r="D290" s="2">
        <v>-7.3999999999999996E-2</v>
      </c>
      <c r="E290" s="2">
        <v>4473</v>
      </c>
      <c r="F290" s="2">
        <v>9.59E-4</v>
      </c>
      <c r="G290" s="2">
        <v>-0.51429999999999998</v>
      </c>
      <c r="H290" s="2">
        <v>7.1580000000000004</v>
      </c>
      <c r="I290" s="2">
        <v>20425</v>
      </c>
      <c r="J290" s="2">
        <v>0.9788</v>
      </c>
      <c r="K290" s="2">
        <v>704</v>
      </c>
      <c r="L290" s="2">
        <v>9.6680000000000002E-2</v>
      </c>
      <c r="M290" s="2">
        <v>0.26350000000000001</v>
      </c>
      <c r="N290">
        <f t="shared" si="56"/>
        <v>9.5900000000000005E-7</v>
      </c>
      <c r="O290" s="7">
        <f t="shared" si="52"/>
        <v>2718447812.2886572</v>
      </c>
      <c r="P290" s="7">
        <f t="shared" si="57"/>
        <v>8.5787688681080528E+16</v>
      </c>
      <c r="Q290">
        <f t="shared" si="58"/>
        <v>66779006</v>
      </c>
      <c r="R290">
        <f t="shared" si="59"/>
        <v>49022335999999.992</v>
      </c>
      <c r="S290" s="1">
        <f t="shared" si="60"/>
        <v>1.9890000000000001E+33</v>
      </c>
      <c r="T290" s="1">
        <f t="shared" si="61"/>
        <v>1.9468332E+33</v>
      </c>
      <c r="U290" s="8">
        <f t="shared" si="53"/>
        <v>7.3241107247190226E-17</v>
      </c>
      <c r="V290" s="11">
        <f t="shared" si="54"/>
        <v>2.3371969093080693E+48</v>
      </c>
      <c r="W290" s="1">
        <f t="shared" si="55"/>
        <v>8.5753395518749197E+47</v>
      </c>
      <c r="X290">
        <f t="shared" si="62"/>
        <v>48.368695303330796</v>
      </c>
      <c r="Y290">
        <f t="shared" si="63"/>
        <v>47.933251325517844</v>
      </c>
      <c r="AA290" s="10">
        <f t="shared" si="64"/>
        <v>2718.4478122886571</v>
      </c>
    </row>
    <row r="291" spans="1:27" x14ac:dyDescent="0.25">
      <c r="A291" s="2">
        <v>1</v>
      </c>
      <c r="B291" s="2">
        <v>9.4393550000000008</v>
      </c>
      <c r="C291" s="6">
        <v>3.7522021531765208</v>
      </c>
      <c r="D291" s="2">
        <v>-7.2999999999999995E-2</v>
      </c>
      <c r="E291" s="2">
        <v>4473</v>
      </c>
      <c r="F291" s="2">
        <v>9.5999999999999992E-4</v>
      </c>
      <c r="G291" s="2">
        <v>-0.51429999999999998</v>
      </c>
      <c r="H291" s="2">
        <v>7.1580000000000004</v>
      </c>
      <c r="I291" s="2">
        <v>20444</v>
      </c>
      <c r="J291" s="2">
        <v>0.9788</v>
      </c>
      <c r="K291" s="2">
        <v>704.4</v>
      </c>
      <c r="L291" s="2">
        <v>9.6659999999999996E-2</v>
      </c>
      <c r="M291" s="2">
        <v>0.26319999999999999</v>
      </c>
      <c r="N291">
        <f t="shared" si="56"/>
        <v>9.5999999999999991E-7</v>
      </c>
      <c r="O291" s="7">
        <f t="shared" si="52"/>
        <v>2750141248.7256503</v>
      </c>
      <c r="P291" s="7">
        <f t="shared" si="57"/>
        <v>8.6787857470784576E+16</v>
      </c>
      <c r="Q291">
        <f t="shared" si="58"/>
        <v>66848639.999999993</v>
      </c>
      <c r="R291">
        <f t="shared" si="59"/>
        <v>49050189599999.992</v>
      </c>
      <c r="S291" s="1">
        <f t="shared" si="60"/>
        <v>1.9890000000000001E+33</v>
      </c>
      <c r="T291" s="1">
        <f t="shared" si="61"/>
        <v>1.9468332E+33</v>
      </c>
      <c r="U291" s="8">
        <f t="shared" si="53"/>
        <v>7.2397055190522435E-17</v>
      </c>
      <c r="V291" s="11">
        <f t="shared" si="54"/>
        <v>2.3394071906214804E+48</v>
      </c>
      <c r="W291" s="1">
        <f t="shared" si="55"/>
        <v>8.5914551309070013E+47</v>
      </c>
      <c r="X291">
        <f t="shared" si="62"/>
        <v>48.369105820461954</v>
      </c>
      <c r="Y291">
        <f t="shared" si="63"/>
        <v>47.934066726322904</v>
      </c>
      <c r="AA291" s="10">
        <f t="shared" si="64"/>
        <v>2750.1412487256503</v>
      </c>
    </row>
    <row r="292" spans="1:27" x14ac:dyDescent="0.25">
      <c r="A292" s="2">
        <v>1</v>
      </c>
      <c r="B292" s="2">
        <v>9.444331</v>
      </c>
      <c r="C292" s="6">
        <v>3.7523558041535008</v>
      </c>
      <c r="D292" s="2">
        <v>-7.1999999999999995E-2</v>
      </c>
      <c r="E292" s="2">
        <v>4472</v>
      </c>
      <c r="F292" s="2">
        <v>9.6099999999999994E-4</v>
      </c>
      <c r="G292" s="2">
        <v>-0.51429999999999998</v>
      </c>
      <c r="H292" s="2">
        <v>7.1580000000000004</v>
      </c>
      <c r="I292" s="2">
        <v>20463</v>
      </c>
      <c r="J292" s="2">
        <v>0.9788</v>
      </c>
      <c r="K292" s="2">
        <v>704.7</v>
      </c>
      <c r="L292" s="2">
        <v>9.6640000000000004E-2</v>
      </c>
      <c r="M292" s="2">
        <v>0.2631</v>
      </c>
      <c r="N292">
        <f t="shared" si="56"/>
        <v>9.6099999999999999E-7</v>
      </c>
      <c r="O292" s="7">
        <f t="shared" si="52"/>
        <v>2781832649.5223827</v>
      </c>
      <c r="P292" s="7">
        <f t="shared" si="57"/>
        <v>8.7787962020567552E+16</v>
      </c>
      <c r="Q292">
        <f t="shared" si="58"/>
        <v>66918273.999999993</v>
      </c>
      <c r="R292">
        <f t="shared" si="59"/>
        <v>49071079800000.008</v>
      </c>
      <c r="S292" s="1">
        <f t="shared" si="60"/>
        <v>1.9890000000000001E+33</v>
      </c>
      <c r="T292" s="1">
        <f t="shared" si="61"/>
        <v>1.9468332E+33</v>
      </c>
      <c r="U292" s="8">
        <f t="shared" si="53"/>
        <v>7.1572288074161235E-17</v>
      </c>
      <c r="V292" s="11">
        <f t="shared" si="54"/>
        <v>2.3433928088031096E+48</v>
      </c>
      <c r="W292" s="1">
        <f t="shared" si="55"/>
        <v>8.6075819476523191E+47</v>
      </c>
      <c r="X292">
        <f t="shared" si="62"/>
        <v>48.369845092863699</v>
      </c>
      <c r="Y292">
        <f t="shared" si="63"/>
        <v>47.93488116605505</v>
      </c>
      <c r="AA292" s="10">
        <f t="shared" si="64"/>
        <v>2781.8326495223828</v>
      </c>
    </row>
    <row r="293" spans="1:27" x14ac:dyDescent="0.25">
      <c r="A293" s="2">
        <v>1</v>
      </c>
      <c r="B293" s="2">
        <v>9.4492499999999993</v>
      </c>
      <c r="C293" s="6">
        <v>3.7524326092614739</v>
      </c>
      <c r="D293" s="2">
        <v>-7.0000000000000007E-2</v>
      </c>
      <c r="E293" s="2">
        <v>4471</v>
      </c>
      <c r="F293" s="2">
        <v>9.6199999999999996E-4</v>
      </c>
      <c r="G293" s="2">
        <v>-0.51429999999999998</v>
      </c>
      <c r="H293" s="2">
        <v>7.1589999999999998</v>
      </c>
      <c r="I293" s="2">
        <v>20482</v>
      </c>
      <c r="J293" s="2">
        <v>0.9788</v>
      </c>
      <c r="K293" s="2">
        <v>705</v>
      </c>
      <c r="L293" s="2">
        <v>9.6620000000000011E-2</v>
      </c>
      <c r="M293" s="2">
        <v>0.26280000000000003</v>
      </c>
      <c r="N293">
        <f t="shared" si="56"/>
        <v>9.6200000000000006E-7</v>
      </c>
      <c r="O293" s="7">
        <f t="shared" si="52"/>
        <v>2813519956.6099801</v>
      </c>
      <c r="P293" s="7">
        <f t="shared" si="57"/>
        <v>8.8787937382715104E+16</v>
      </c>
      <c r="Q293">
        <f t="shared" si="58"/>
        <v>66987908</v>
      </c>
      <c r="R293">
        <f t="shared" si="59"/>
        <v>49091970000000</v>
      </c>
      <c r="S293" s="1">
        <f t="shared" si="60"/>
        <v>1.9890000000000001E+33</v>
      </c>
      <c r="T293" s="1">
        <f t="shared" si="61"/>
        <v>1.9468332E+33</v>
      </c>
      <c r="U293" s="8">
        <f t="shared" si="53"/>
        <v>7.0766204198395682E-17</v>
      </c>
      <c r="V293" s="11">
        <f t="shared" si="54"/>
        <v>2.3455947148760739E+48</v>
      </c>
      <c r="W293" s="1">
        <f t="shared" si="55"/>
        <v>8.6237199905375275E+47</v>
      </c>
      <c r="X293">
        <f t="shared" si="62"/>
        <v>48.370252974404274</v>
      </c>
      <c r="Y293">
        <f t="shared" si="63"/>
        <v>47.935694646667031</v>
      </c>
      <c r="AA293" s="10">
        <f t="shared" si="64"/>
        <v>2813.51995660998</v>
      </c>
    </row>
    <row r="294" spans="1:27" x14ac:dyDescent="0.25">
      <c r="A294" s="2">
        <v>1</v>
      </c>
      <c r="B294" s="2">
        <v>9.4541129999999995</v>
      </c>
      <c r="C294" s="6">
        <v>3.7525094007888429</v>
      </c>
      <c r="D294" s="2">
        <v>-6.9000000000000006E-2</v>
      </c>
      <c r="E294" s="2">
        <v>4471</v>
      </c>
      <c r="F294" s="2">
        <v>9.6199999999999996E-4</v>
      </c>
      <c r="G294" s="2">
        <v>-0.51429999999999998</v>
      </c>
      <c r="H294" s="2">
        <v>7.1589999999999998</v>
      </c>
      <c r="I294" s="2">
        <v>20501</v>
      </c>
      <c r="J294" s="2">
        <v>0.9788</v>
      </c>
      <c r="K294" s="2">
        <v>705.3</v>
      </c>
      <c r="L294" s="2">
        <v>9.6599999999999991E-2</v>
      </c>
      <c r="M294" s="2">
        <v>0.2626</v>
      </c>
      <c r="N294">
        <f t="shared" si="56"/>
        <v>9.6200000000000006E-7</v>
      </c>
      <c r="O294" s="7">
        <f t="shared" si="52"/>
        <v>2845201310.0942178</v>
      </c>
      <c r="P294" s="7">
        <f t="shared" si="57"/>
        <v>8.978772486342928E+16</v>
      </c>
      <c r="Q294">
        <f t="shared" si="58"/>
        <v>66987908</v>
      </c>
      <c r="R294">
        <f t="shared" si="59"/>
        <v>49112860199999.992</v>
      </c>
      <c r="S294" s="1">
        <f t="shared" si="60"/>
        <v>1.9890000000000001E+33</v>
      </c>
      <c r="T294" s="1">
        <f t="shared" si="61"/>
        <v>1.9468332E+33</v>
      </c>
      <c r="U294" s="8">
        <f t="shared" si="53"/>
        <v>6.997822159695618E-17</v>
      </c>
      <c r="V294" s="11">
        <f t="shared" si="54"/>
        <v>2.3438096351843869E+48</v>
      </c>
      <c r="W294" s="1">
        <f t="shared" si="55"/>
        <v>8.6219349108458405E+47</v>
      </c>
      <c r="X294">
        <f t="shared" si="62"/>
        <v>48.36992233526999</v>
      </c>
      <c r="Y294">
        <f t="shared" si="63"/>
        <v>47.935604739932018</v>
      </c>
      <c r="AA294" s="10">
        <f t="shared" si="64"/>
        <v>2845.2013100942177</v>
      </c>
    </row>
    <row r="295" spans="1:27" x14ac:dyDescent="0.25">
      <c r="A295" s="2">
        <v>1</v>
      </c>
      <c r="B295" s="2">
        <v>9.4589230000000004</v>
      </c>
      <c r="C295" s="6">
        <v>3.7525861787404091</v>
      </c>
      <c r="D295" s="2">
        <v>-6.8000000000000005E-2</v>
      </c>
      <c r="E295" s="2">
        <v>4470</v>
      </c>
      <c r="F295" s="2">
        <v>9.6299999999999999E-4</v>
      </c>
      <c r="G295" s="2">
        <v>-0.51429999999999998</v>
      </c>
      <c r="H295" s="2">
        <v>7.16</v>
      </c>
      <c r="I295" s="2">
        <v>20520</v>
      </c>
      <c r="J295" s="2">
        <v>0.9788</v>
      </c>
      <c r="K295" s="2">
        <v>705.6</v>
      </c>
      <c r="L295" s="2">
        <v>9.6579999999999999E-2</v>
      </c>
      <c r="M295" s="2">
        <v>0.26239999999999997</v>
      </c>
      <c r="N295">
        <f t="shared" si="56"/>
        <v>9.6299999999999993E-7</v>
      </c>
      <c r="O295" s="7">
        <f t="shared" si="52"/>
        <v>2876888299.9468298</v>
      </c>
      <c r="P295" s="7">
        <f t="shared" si="57"/>
        <v>9.078769021440208E+16</v>
      </c>
      <c r="Q295">
        <f t="shared" si="58"/>
        <v>67057541.999999993</v>
      </c>
      <c r="R295">
        <f t="shared" si="59"/>
        <v>49133750400000</v>
      </c>
      <c r="S295" s="1">
        <f t="shared" si="60"/>
        <v>1.9890000000000001E+33</v>
      </c>
      <c r="T295" s="1">
        <f t="shared" si="61"/>
        <v>1.9468332E+33</v>
      </c>
      <c r="U295" s="8">
        <f t="shared" si="53"/>
        <v>6.9207458547974542E-17</v>
      </c>
      <c r="V295" s="11">
        <f t="shared" si="54"/>
        <v>2.3468961601163435E+48</v>
      </c>
      <c r="W295" s="1">
        <f t="shared" si="55"/>
        <v>8.6380804551843167E+47</v>
      </c>
      <c r="X295">
        <f t="shared" si="62"/>
        <v>48.370493874393595</v>
      </c>
      <c r="Y295">
        <f t="shared" si="63"/>
        <v>47.936417244754296</v>
      </c>
      <c r="AA295" s="10">
        <f t="shared" si="64"/>
        <v>2876.8882999468296</v>
      </c>
    </row>
    <row r="296" spans="1:27" x14ac:dyDescent="0.25">
      <c r="A296" s="2">
        <v>1</v>
      </c>
      <c r="B296" s="2">
        <v>9.4636809999999993</v>
      </c>
      <c r="C296" s="6">
        <v>3.7526629431209719</v>
      </c>
      <c r="D296" s="2">
        <v>-6.7000000000000004E-2</v>
      </c>
      <c r="E296" s="2">
        <v>4469</v>
      </c>
      <c r="F296" s="2">
        <v>9.6400000000000001E-4</v>
      </c>
      <c r="G296" s="2">
        <v>-0.51429999999999998</v>
      </c>
      <c r="H296" s="2">
        <v>7.16</v>
      </c>
      <c r="I296" s="2">
        <v>20539</v>
      </c>
      <c r="J296" s="2">
        <v>0.9788</v>
      </c>
      <c r="K296" s="2">
        <v>706</v>
      </c>
      <c r="L296" s="2">
        <v>9.6560000000000007E-2</v>
      </c>
      <c r="M296" s="2">
        <v>0.26219999999999999</v>
      </c>
      <c r="N296">
        <f t="shared" si="56"/>
        <v>9.64E-7</v>
      </c>
      <c r="O296" s="7">
        <f t="shared" si="52"/>
        <v>2908579909.6219621</v>
      </c>
      <c r="P296" s="7">
        <f t="shared" si="57"/>
        <v>9.1787801355886032E+16</v>
      </c>
      <c r="Q296">
        <f t="shared" si="58"/>
        <v>67127176</v>
      </c>
      <c r="R296">
        <f t="shared" si="59"/>
        <v>49161604000000</v>
      </c>
      <c r="S296" s="1">
        <f t="shared" si="60"/>
        <v>1.9890000000000001E+33</v>
      </c>
      <c r="T296" s="1">
        <f t="shared" si="61"/>
        <v>1.9468332E+33</v>
      </c>
      <c r="U296" s="8">
        <f t="shared" si="53"/>
        <v>6.8453380671119733E-17</v>
      </c>
      <c r="V296" s="11">
        <f t="shared" si="54"/>
        <v>2.3499803163713624E+48</v>
      </c>
      <c r="W296" s="1">
        <f t="shared" si="55"/>
        <v>8.6542371986582289E+47</v>
      </c>
      <c r="X296">
        <f t="shared" si="62"/>
        <v>48.37106422460063</v>
      </c>
      <c r="Y296">
        <f t="shared" si="63"/>
        <v>47.937228794335859</v>
      </c>
      <c r="AA296" s="10">
        <f t="shared" si="64"/>
        <v>2908.5799096219621</v>
      </c>
    </row>
    <row r="297" spans="1:27" x14ac:dyDescent="0.25">
      <c r="A297" s="2">
        <v>1</v>
      </c>
      <c r="B297" s="2">
        <v>9.4683869999999999</v>
      </c>
      <c r="C297" s="6">
        <v>3.7527396939353279</v>
      </c>
      <c r="D297" s="2">
        <v>-6.6000000000000003E-2</v>
      </c>
      <c r="E297" s="2">
        <v>4469</v>
      </c>
      <c r="F297" s="2">
        <v>9.6499999999999993E-4</v>
      </c>
      <c r="G297" s="2">
        <v>-0.51429999999999998</v>
      </c>
      <c r="H297" s="2">
        <v>7.1609999999999996</v>
      </c>
      <c r="I297" s="2">
        <v>20558</v>
      </c>
      <c r="J297" s="2">
        <v>0.9788</v>
      </c>
      <c r="K297" s="2">
        <v>706.3</v>
      </c>
      <c r="L297" s="2">
        <v>9.6540000000000001E-2</v>
      </c>
      <c r="M297" s="2">
        <v>0.26200000000000001</v>
      </c>
      <c r="N297">
        <f t="shared" si="56"/>
        <v>9.6499999999999987E-7</v>
      </c>
      <c r="O297" s="7">
        <f t="shared" si="52"/>
        <v>2940268559.5140224</v>
      </c>
      <c r="P297" s="7">
        <f t="shared" si="57"/>
        <v>9.2787819093719712E+16</v>
      </c>
      <c r="Q297">
        <f t="shared" si="58"/>
        <v>67196810</v>
      </c>
      <c r="R297">
        <f t="shared" si="59"/>
        <v>49182494200000</v>
      </c>
      <c r="S297" s="1">
        <f t="shared" si="60"/>
        <v>1.9890000000000001E+33</v>
      </c>
      <c r="T297" s="1">
        <f t="shared" si="61"/>
        <v>1.9468332E+33</v>
      </c>
      <c r="U297" s="8">
        <f t="shared" si="53"/>
        <v>6.7715626561211635E-17</v>
      </c>
      <c r="V297" s="11">
        <f t="shared" si="54"/>
        <v>2.3530620923761012E+48</v>
      </c>
      <c r="W297" s="1">
        <f t="shared" si="55"/>
        <v>8.6704051296942282E+47</v>
      </c>
      <c r="X297">
        <f t="shared" si="62"/>
        <v>48.371633387448234</v>
      </c>
      <c r="Y297">
        <f t="shared" si="63"/>
        <v>47.938039390611159</v>
      </c>
      <c r="AA297" s="10">
        <f t="shared" si="64"/>
        <v>2940.2685595140224</v>
      </c>
    </row>
    <row r="298" spans="1:27" x14ac:dyDescent="0.25">
      <c r="A298" s="2">
        <v>1</v>
      </c>
      <c r="B298" s="2">
        <v>9.4730430000000005</v>
      </c>
      <c r="C298" s="6">
        <v>3.7528164311882715</v>
      </c>
      <c r="D298" s="2">
        <v>-6.5000000000000002E-2</v>
      </c>
      <c r="E298" s="2">
        <v>4468</v>
      </c>
      <c r="F298" s="2">
        <v>9.6599999999999995E-4</v>
      </c>
      <c r="G298" s="2">
        <v>-0.51429999999999998</v>
      </c>
      <c r="H298" s="2">
        <v>7.1609999999999996</v>
      </c>
      <c r="I298" s="2">
        <v>20578</v>
      </c>
      <c r="J298" s="2">
        <v>0.9788</v>
      </c>
      <c r="K298" s="2">
        <v>706.6</v>
      </c>
      <c r="L298" s="2">
        <v>9.6519999999999995E-2</v>
      </c>
      <c r="M298" s="2">
        <v>0.26180000000000003</v>
      </c>
      <c r="N298">
        <f t="shared" si="56"/>
        <v>9.6599999999999994E-7</v>
      </c>
      <c r="O298" s="7">
        <f t="shared" si="52"/>
        <v>2971960274.4024081</v>
      </c>
      <c r="P298" s="7">
        <f t="shared" si="57"/>
        <v>9.378793355548144E+16</v>
      </c>
      <c r="Q298">
        <f t="shared" si="58"/>
        <v>67266444</v>
      </c>
      <c r="R298">
        <f t="shared" si="59"/>
        <v>49203384400000.008</v>
      </c>
      <c r="S298" s="1">
        <f t="shared" si="60"/>
        <v>1.9890000000000001E+33</v>
      </c>
      <c r="T298" s="1">
        <f t="shared" si="61"/>
        <v>1.9468332E+33</v>
      </c>
      <c r="U298" s="8">
        <f t="shared" si="53"/>
        <v>6.6993536044406907E-17</v>
      </c>
      <c r="V298" s="11">
        <f t="shared" si="54"/>
        <v>2.3561414765572205E+48</v>
      </c>
      <c r="W298" s="1">
        <f t="shared" si="55"/>
        <v>8.6865842367189801E+47</v>
      </c>
      <c r="X298">
        <f t="shared" si="62"/>
        <v>48.372201364486628</v>
      </c>
      <c r="Y298">
        <f t="shared" si="63"/>
        <v>47.938849035508639</v>
      </c>
      <c r="AA298" s="10">
        <f t="shared" si="64"/>
        <v>2971.9602744024082</v>
      </c>
    </row>
    <row r="299" spans="1:27" x14ac:dyDescent="0.25">
      <c r="A299" s="2">
        <v>1</v>
      </c>
      <c r="B299" s="2">
        <v>9.4776480000000003</v>
      </c>
      <c r="C299" s="6">
        <v>3.7528931548845939</v>
      </c>
      <c r="D299" s="2">
        <v>-6.4000000000000001E-2</v>
      </c>
      <c r="E299" s="2">
        <v>4467</v>
      </c>
      <c r="F299" s="2">
        <v>9.6599999999999995E-4</v>
      </c>
      <c r="G299" s="2">
        <v>-0.51429999999999998</v>
      </c>
      <c r="H299" s="2">
        <v>7.1619999999999999</v>
      </c>
      <c r="I299" s="2">
        <v>20597</v>
      </c>
      <c r="J299" s="2">
        <v>0.9788</v>
      </c>
      <c r="K299" s="2">
        <v>707</v>
      </c>
      <c r="L299" s="2">
        <v>9.6500000000000002E-2</v>
      </c>
      <c r="M299" s="2">
        <v>0.2616</v>
      </c>
      <c r="N299">
        <f t="shared" si="56"/>
        <v>9.6599999999999994E-7</v>
      </c>
      <c r="O299" s="7">
        <f t="shared" si="52"/>
        <v>3003640834.9849892</v>
      </c>
      <c r="P299" s="7">
        <f t="shared" si="57"/>
        <v>9.4787696014122288E+16</v>
      </c>
      <c r="Q299">
        <f t="shared" si="58"/>
        <v>67266444</v>
      </c>
      <c r="R299">
        <f t="shared" si="59"/>
        <v>49231238000000</v>
      </c>
      <c r="S299" s="1">
        <f t="shared" si="60"/>
        <v>1.9890000000000001E+33</v>
      </c>
      <c r="T299" s="1">
        <f t="shared" si="61"/>
        <v>1.9468332E+33</v>
      </c>
      <c r="U299" s="8">
        <f t="shared" si="53"/>
        <v>6.6286929331455247E-17</v>
      </c>
      <c r="V299" s="11">
        <f t="shared" si="54"/>
        <v>2.3543415212657325E+48</v>
      </c>
      <c r="W299" s="1">
        <f t="shared" si="55"/>
        <v>8.6847842814274925E+47</v>
      </c>
      <c r="X299">
        <f t="shared" si="62"/>
        <v>48.371869461924121</v>
      </c>
      <c r="Y299">
        <f t="shared" si="63"/>
        <v>47.938759035615682</v>
      </c>
      <c r="AA299" s="10">
        <f t="shared" si="64"/>
        <v>3003.6408349849889</v>
      </c>
    </row>
    <row r="300" spans="1:27" x14ac:dyDescent="0.25">
      <c r="A300" s="2">
        <v>1</v>
      </c>
      <c r="B300" s="2">
        <v>9.4822059999999997</v>
      </c>
      <c r="C300" s="6">
        <v>3.7530465616265292</v>
      </c>
      <c r="D300" s="2">
        <v>-6.3E-2</v>
      </c>
      <c r="E300" s="2">
        <v>4467</v>
      </c>
      <c r="F300" s="2">
        <v>9.6699999999999998E-4</v>
      </c>
      <c r="G300" s="2">
        <v>-0.51429999999999998</v>
      </c>
      <c r="H300" s="2">
        <v>7.1619999999999999</v>
      </c>
      <c r="I300" s="2">
        <v>20617</v>
      </c>
      <c r="J300" s="2">
        <v>0.9788</v>
      </c>
      <c r="K300" s="2">
        <v>707.3</v>
      </c>
      <c r="L300" s="2">
        <v>9.648000000000001E-2</v>
      </c>
      <c r="M300" s="2">
        <v>0.26130000000000003</v>
      </c>
      <c r="N300">
        <f t="shared" si="56"/>
        <v>9.6700000000000002E-7</v>
      </c>
      <c r="O300" s="7">
        <f t="shared" si="52"/>
        <v>3035330598.8264637</v>
      </c>
      <c r="P300" s="7">
        <f t="shared" si="57"/>
        <v>9.5787748905526016E+16</v>
      </c>
      <c r="Q300">
        <f t="shared" si="58"/>
        <v>67336078</v>
      </c>
      <c r="R300">
        <f t="shared" si="59"/>
        <v>49252128200000</v>
      </c>
      <c r="S300" s="1">
        <f t="shared" si="60"/>
        <v>1.9890000000000001E+33</v>
      </c>
      <c r="T300" s="1">
        <f t="shared" si="61"/>
        <v>1.9468332E+33</v>
      </c>
      <c r="U300" s="8">
        <f t="shared" si="53"/>
        <v>6.559487386405327E-17</v>
      </c>
      <c r="V300" s="11">
        <f t="shared" si="54"/>
        <v>2.3565129315875482E+48</v>
      </c>
      <c r="W300" s="1">
        <f t="shared" si="55"/>
        <v>8.7009708243232543E+47</v>
      </c>
      <c r="X300">
        <f t="shared" si="62"/>
        <v>48.372269827334229</v>
      </c>
      <c r="Y300">
        <f t="shared" si="63"/>
        <v>47.939567712402983</v>
      </c>
      <c r="AA300" s="10">
        <f t="shared" si="64"/>
        <v>3035.3305988264638</v>
      </c>
    </row>
    <row r="301" spans="1:27" x14ac:dyDescent="0.25">
      <c r="A301" s="2">
        <v>1</v>
      </c>
      <c r="B301" s="2">
        <v>9.4867170000000005</v>
      </c>
      <c r="C301" s="6">
        <v>3.7531232446817127</v>
      </c>
      <c r="D301" s="2">
        <v>-6.2E-2</v>
      </c>
      <c r="E301" s="2">
        <v>4466</v>
      </c>
      <c r="F301" s="2">
        <v>9.68E-4</v>
      </c>
      <c r="G301" s="2">
        <v>-0.51429999999999998</v>
      </c>
      <c r="H301" s="2">
        <v>7.1619999999999999</v>
      </c>
      <c r="I301" s="2">
        <v>20637</v>
      </c>
      <c r="J301" s="2">
        <v>0.9788</v>
      </c>
      <c r="K301" s="2">
        <v>707.6</v>
      </c>
      <c r="L301" s="2">
        <v>9.645999999999999E-2</v>
      </c>
      <c r="M301" s="2">
        <v>0.2611</v>
      </c>
      <c r="N301">
        <f t="shared" si="56"/>
        <v>9.6800000000000009E-7</v>
      </c>
      <c r="O301" s="7">
        <f t="shared" si="52"/>
        <v>3067022768.1880307</v>
      </c>
      <c r="P301" s="7">
        <f t="shared" si="57"/>
        <v>9.6787877709370592E+16</v>
      </c>
      <c r="Q301">
        <f t="shared" si="58"/>
        <v>67405712</v>
      </c>
      <c r="R301">
        <f t="shared" si="59"/>
        <v>49273018400000</v>
      </c>
      <c r="S301" s="1">
        <f t="shared" si="60"/>
        <v>1.9890000000000001E+33</v>
      </c>
      <c r="T301" s="1">
        <f t="shared" si="61"/>
        <v>1.9468332E+33</v>
      </c>
      <c r="U301" s="8">
        <f t="shared" si="53"/>
        <v>6.4917068706128623E-17</v>
      </c>
      <c r="V301" s="11">
        <f t="shared" si="54"/>
        <v>2.3595818987981377E+48</v>
      </c>
      <c r="W301" s="1">
        <f t="shared" si="55"/>
        <v>8.7171685162033062E+47</v>
      </c>
      <c r="X301">
        <f t="shared" si="62"/>
        <v>48.372835055880635</v>
      </c>
      <c r="Y301">
        <f t="shared" si="63"/>
        <v>47.940375441643553</v>
      </c>
      <c r="AA301" s="10">
        <f t="shared" si="64"/>
        <v>3067.0227681880306</v>
      </c>
    </row>
    <row r="302" spans="1:27" x14ac:dyDescent="0.25">
      <c r="A302" s="2">
        <v>1</v>
      </c>
      <c r="B302" s="2">
        <v>9.4911809999999992</v>
      </c>
      <c r="C302" s="6">
        <v>3.7531999141994161</v>
      </c>
      <c r="D302" s="2">
        <v>-6.0999999999999999E-2</v>
      </c>
      <c r="E302" s="2">
        <v>4465</v>
      </c>
      <c r="F302" s="2">
        <v>9.6900000000000003E-4</v>
      </c>
      <c r="G302" s="2">
        <v>-0.51429999999999998</v>
      </c>
      <c r="H302" s="2">
        <v>7.1630000000000003</v>
      </c>
      <c r="I302" s="2">
        <v>20657</v>
      </c>
      <c r="J302" s="2">
        <v>0.9788</v>
      </c>
      <c r="K302" s="2">
        <v>708</v>
      </c>
      <c r="L302" s="2">
        <v>9.6439999999999998E-2</v>
      </c>
      <c r="M302" s="2">
        <v>0.26089999999999997</v>
      </c>
      <c r="N302">
        <f t="shared" si="56"/>
        <v>9.6899999999999996E-7</v>
      </c>
      <c r="O302" s="7">
        <f t="shared" si="52"/>
        <v>3098710473.200253</v>
      </c>
      <c r="P302" s="7">
        <f t="shared" si="57"/>
        <v>9.7787865629064304E+16</v>
      </c>
      <c r="Q302">
        <f t="shared" si="58"/>
        <v>67475346</v>
      </c>
      <c r="R302">
        <f t="shared" si="59"/>
        <v>49300872000000</v>
      </c>
      <c r="S302" s="1">
        <f t="shared" si="60"/>
        <v>1.9890000000000001E+33</v>
      </c>
      <c r="T302" s="1">
        <f t="shared" si="61"/>
        <v>1.9468332E+33</v>
      </c>
      <c r="U302" s="8">
        <f t="shared" si="53"/>
        <v>6.4253220650232809E-17</v>
      </c>
      <c r="V302" s="11">
        <f t="shared" si="54"/>
        <v>2.3626484336784168E+48</v>
      </c>
      <c r="W302" s="1">
        <f t="shared" si="55"/>
        <v>8.733377345494309E+47</v>
      </c>
      <c r="X302">
        <f t="shared" si="62"/>
        <v>48.373399102642651</v>
      </c>
      <c r="Y302">
        <f t="shared" si="63"/>
        <v>47.94118222524785</v>
      </c>
      <c r="AA302" s="10">
        <f t="shared" si="64"/>
        <v>3098.7104732002531</v>
      </c>
    </row>
    <row r="303" spans="1:27" x14ac:dyDescent="0.25">
      <c r="A303" s="2">
        <v>1</v>
      </c>
      <c r="B303" s="2">
        <v>9.4955999999999996</v>
      </c>
      <c r="C303" s="6">
        <v>3.7532765701844184</v>
      </c>
      <c r="D303" s="2">
        <v>-0.06</v>
      </c>
      <c r="E303" s="2">
        <v>4464</v>
      </c>
      <c r="F303" s="2">
        <v>9.6999999999999994E-4</v>
      </c>
      <c r="G303" s="2">
        <v>-0.51429999999999998</v>
      </c>
      <c r="H303" s="2">
        <v>7.1630000000000003</v>
      </c>
      <c r="I303" s="2">
        <v>20677</v>
      </c>
      <c r="J303" s="2">
        <v>0.9788</v>
      </c>
      <c r="K303" s="2">
        <v>708.3</v>
      </c>
      <c r="L303" s="2">
        <v>9.6420000000000006E-2</v>
      </c>
      <c r="M303" s="2">
        <v>0.26069999999999999</v>
      </c>
      <c r="N303">
        <f t="shared" si="56"/>
        <v>9.7000000000000003E-7</v>
      </c>
      <c r="O303" s="7">
        <f t="shared" si="52"/>
        <v>3130401190.0962443</v>
      </c>
      <c r="P303" s="7">
        <f t="shared" si="57"/>
        <v>9.8787948596581248E+16</v>
      </c>
      <c r="Q303">
        <f t="shared" si="58"/>
        <v>67544980</v>
      </c>
      <c r="R303">
        <f t="shared" si="59"/>
        <v>49321762199999.992</v>
      </c>
      <c r="S303" s="1">
        <f t="shared" si="60"/>
        <v>1.9890000000000001E+33</v>
      </c>
      <c r="T303" s="1">
        <f t="shared" si="61"/>
        <v>1.9468332E+33</v>
      </c>
      <c r="U303" s="8">
        <f t="shared" si="53"/>
        <v>6.3602751109228201E-17</v>
      </c>
      <c r="V303" s="11">
        <f t="shared" si="54"/>
        <v>2.3657125246550466E+48</v>
      </c>
      <c r="W303" s="1">
        <f t="shared" si="55"/>
        <v>8.7495973006229249E+47</v>
      </c>
      <c r="X303">
        <f t="shared" si="62"/>
        <v>48.373961969141718</v>
      </c>
      <c r="Y303">
        <f t="shared" si="63"/>
        <v>47.941988065120377</v>
      </c>
      <c r="AA303" s="10">
        <f t="shared" si="64"/>
        <v>3130.4011900962441</v>
      </c>
    </row>
    <row r="304" spans="1:27" x14ac:dyDescent="0.25">
      <c r="A304" s="2">
        <v>1</v>
      </c>
      <c r="B304" s="2">
        <v>9.4999730000000007</v>
      </c>
      <c r="C304" s="6">
        <v>3.7533532126414961</v>
      </c>
      <c r="D304" s="2">
        <v>-5.8999999999999997E-2</v>
      </c>
      <c r="E304" s="2">
        <v>4464</v>
      </c>
      <c r="F304" s="2">
        <v>9.6999999999999994E-4</v>
      </c>
      <c r="G304" s="2">
        <v>-0.51429999999999998</v>
      </c>
      <c r="H304" s="2">
        <v>7.1639999999999997</v>
      </c>
      <c r="I304" s="2">
        <v>20697</v>
      </c>
      <c r="J304" s="2">
        <v>0.9788</v>
      </c>
      <c r="K304" s="2">
        <v>708.7</v>
      </c>
      <c r="L304" s="2">
        <v>9.64E-2</v>
      </c>
      <c r="M304" s="2">
        <v>0.26050000000000001</v>
      </c>
      <c r="N304">
        <f t="shared" si="56"/>
        <v>9.7000000000000003E-7</v>
      </c>
      <c r="O304" s="7">
        <f t="shared" si="52"/>
        <v>3162081068.1176915</v>
      </c>
      <c r="P304" s="7">
        <f t="shared" si="57"/>
        <v>9.9787689515230864E+16</v>
      </c>
      <c r="Q304">
        <f t="shared" si="58"/>
        <v>67544980</v>
      </c>
      <c r="R304">
        <f t="shared" si="59"/>
        <v>49349615800000</v>
      </c>
      <c r="S304" s="1">
        <f t="shared" si="60"/>
        <v>1.9890000000000001E+33</v>
      </c>
      <c r="T304" s="1">
        <f t="shared" si="61"/>
        <v>1.9468332E+33</v>
      </c>
      <c r="U304" s="8">
        <f t="shared" si="53"/>
        <v>6.2965535505464997E-17</v>
      </c>
      <c r="V304" s="11">
        <f t="shared" si="54"/>
        <v>2.3638976320392779E+48</v>
      </c>
      <c r="W304" s="1">
        <f t="shared" si="55"/>
        <v>8.7477824080071546E+47</v>
      </c>
      <c r="X304">
        <f t="shared" si="62"/>
        <v>48.373628665608933</v>
      </c>
      <c r="Y304">
        <f t="shared" si="63"/>
        <v>47.941897971876223</v>
      </c>
      <c r="AA304" s="10">
        <f t="shared" si="64"/>
        <v>3162.0810681176913</v>
      </c>
    </row>
    <row r="305" spans="1:27" x14ac:dyDescent="0.25">
      <c r="A305" s="2">
        <v>1</v>
      </c>
      <c r="B305" s="2">
        <v>9.5043039999999994</v>
      </c>
      <c r="C305" s="6">
        <v>3.7534298415754228</v>
      </c>
      <c r="D305" s="2">
        <v>-5.8000000000000003E-2</v>
      </c>
      <c r="E305" s="2">
        <v>4463</v>
      </c>
      <c r="F305" s="2">
        <v>9.7099999999999997E-4</v>
      </c>
      <c r="G305" s="2">
        <v>-0.51429999999999998</v>
      </c>
      <c r="H305" s="2">
        <v>7.1639999999999997</v>
      </c>
      <c r="I305" s="2">
        <v>20717</v>
      </c>
      <c r="J305" s="2">
        <v>0.9788</v>
      </c>
      <c r="K305" s="2">
        <v>709</v>
      </c>
      <c r="L305" s="2">
        <v>9.6379999999999993E-2</v>
      </c>
      <c r="M305" s="2">
        <v>0.26030000000000003</v>
      </c>
      <c r="N305">
        <f t="shared" si="56"/>
        <v>9.7099999999999989E-7</v>
      </c>
      <c r="O305" s="7">
        <f t="shared" si="52"/>
        <v>3193772668.5750566</v>
      </c>
      <c r="P305" s="7">
        <f t="shared" si="57"/>
        <v>1.0078780036582421E+17</v>
      </c>
      <c r="Q305">
        <f t="shared" si="58"/>
        <v>67614614</v>
      </c>
      <c r="R305">
        <f t="shared" si="59"/>
        <v>49370505999999.992</v>
      </c>
      <c r="S305" s="1">
        <f t="shared" si="60"/>
        <v>1.9890000000000001E+33</v>
      </c>
      <c r="T305" s="1">
        <f t="shared" si="61"/>
        <v>1.9468332E+33</v>
      </c>
      <c r="U305" s="8">
        <f t="shared" si="53"/>
        <v>6.2340732552688288E-17</v>
      </c>
      <c r="V305" s="11">
        <f t="shared" si="54"/>
        <v>2.3669555235633972E+48</v>
      </c>
      <c r="W305" s="1">
        <f t="shared" si="55"/>
        <v>8.7640097334245177E+47</v>
      </c>
      <c r="X305">
        <f t="shared" si="62"/>
        <v>48.374190097366146</v>
      </c>
      <c r="Y305">
        <f t="shared" si="63"/>
        <v>47.942702851222101</v>
      </c>
      <c r="AA305" s="10">
        <f t="shared" si="64"/>
        <v>3193.7726685750567</v>
      </c>
    </row>
    <row r="306" spans="1:27" x14ac:dyDescent="0.25">
      <c r="A306" s="2">
        <v>1</v>
      </c>
      <c r="B306" s="2">
        <v>9.5085920000000002</v>
      </c>
      <c r="C306" s="6">
        <v>3.7535064569909702</v>
      </c>
      <c r="D306" s="2">
        <v>-5.7000000000000002E-2</v>
      </c>
      <c r="E306" s="2">
        <v>4462</v>
      </c>
      <c r="F306" s="2">
        <v>9.7199999999999999E-4</v>
      </c>
      <c r="G306" s="2">
        <v>-0.51429999999999998</v>
      </c>
      <c r="H306" s="2">
        <v>7.165</v>
      </c>
      <c r="I306" s="2">
        <v>20737</v>
      </c>
      <c r="J306" s="2">
        <v>0.9788</v>
      </c>
      <c r="K306" s="2">
        <v>709.4</v>
      </c>
      <c r="L306" s="2">
        <v>9.6360000000000001E-2</v>
      </c>
      <c r="M306" s="2">
        <v>0.26</v>
      </c>
      <c r="N306">
        <f t="shared" si="56"/>
        <v>9.7199999999999997E-7</v>
      </c>
      <c r="O306" s="7">
        <f t="shared" si="52"/>
        <v>3225462521.9264812</v>
      </c>
      <c r="P306" s="7">
        <f t="shared" si="57"/>
        <v>1.0178785608194712E+17</v>
      </c>
      <c r="Q306">
        <f t="shared" si="58"/>
        <v>67684248</v>
      </c>
      <c r="R306">
        <f t="shared" si="59"/>
        <v>49398359599999.992</v>
      </c>
      <c r="S306" s="1">
        <f t="shared" si="60"/>
        <v>1.9890000000000001E+33</v>
      </c>
      <c r="T306" s="1">
        <f t="shared" si="61"/>
        <v>1.9468332E+33</v>
      </c>
      <c r="U306" s="8">
        <f t="shared" si="53"/>
        <v>6.1728240961486946E-17</v>
      </c>
      <c r="V306" s="11">
        <f t="shared" si="54"/>
        <v>2.3690997519671114E+48</v>
      </c>
      <c r="W306" s="1">
        <f t="shared" si="55"/>
        <v>8.7802481576750329E+47</v>
      </c>
      <c r="X306">
        <f t="shared" si="62"/>
        <v>48.37458334726427</v>
      </c>
      <c r="Y306">
        <f t="shared" si="63"/>
        <v>47.943506790619757</v>
      </c>
      <c r="AA306" s="10">
        <f t="shared" si="64"/>
        <v>3225.4625219264813</v>
      </c>
    </row>
    <row r="307" spans="1:27" x14ac:dyDescent="0.25">
      <c r="A307" s="2">
        <v>1</v>
      </c>
      <c r="B307" s="2">
        <v>9.5128380000000003</v>
      </c>
      <c r="C307" s="6">
        <v>3.7535830588929064</v>
      </c>
      <c r="D307" s="2">
        <v>-5.6000000000000001E-2</v>
      </c>
      <c r="E307" s="2">
        <v>4462</v>
      </c>
      <c r="F307" s="2">
        <v>9.7300000000000002E-4</v>
      </c>
      <c r="G307" s="2">
        <v>-0.51429999999999998</v>
      </c>
      <c r="H307" s="2">
        <v>7.165</v>
      </c>
      <c r="I307" s="2">
        <v>20757</v>
      </c>
      <c r="J307" s="2">
        <v>0.9788</v>
      </c>
      <c r="K307" s="2">
        <v>709.7</v>
      </c>
      <c r="L307" s="2">
        <v>9.6340000000000009E-2</v>
      </c>
      <c r="M307" s="2">
        <v>0.25980000000000003</v>
      </c>
      <c r="N307">
        <f t="shared" si="56"/>
        <v>9.7300000000000004E-7</v>
      </c>
      <c r="O307" s="7">
        <f t="shared" si="52"/>
        <v>3257151804.578043</v>
      </c>
      <c r="P307" s="7">
        <f t="shared" si="57"/>
        <v>1.0278789378815205E+17</v>
      </c>
      <c r="Q307">
        <f t="shared" si="58"/>
        <v>67753882</v>
      </c>
      <c r="R307">
        <f t="shared" si="59"/>
        <v>49419249800000.008</v>
      </c>
      <c r="S307" s="1">
        <f t="shared" si="60"/>
        <v>1.9890000000000001E+33</v>
      </c>
      <c r="T307" s="1">
        <f t="shared" si="61"/>
        <v>1.9468332E+33</v>
      </c>
      <c r="U307" s="8">
        <f t="shared" si="53"/>
        <v>6.1127678324933474E-17</v>
      </c>
      <c r="V307" s="11">
        <f t="shared" si="54"/>
        <v>2.3721508142561305E+48</v>
      </c>
      <c r="W307" s="1">
        <f t="shared" si="55"/>
        <v>8.7964976691853563E+47</v>
      </c>
      <c r="X307">
        <f t="shared" si="62"/>
        <v>48.375142296714614</v>
      </c>
      <c r="Y307">
        <f t="shared" si="63"/>
        <v>47.944309791956023</v>
      </c>
      <c r="AA307" s="10">
        <f t="shared" si="64"/>
        <v>3257.1518045780431</v>
      </c>
    </row>
    <row r="308" spans="1:27" x14ac:dyDescent="0.25">
      <c r="A308" s="2">
        <v>1</v>
      </c>
      <c r="B308" s="2">
        <v>9.5170429999999993</v>
      </c>
      <c r="C308" s="6">
        <v>3.7536596472859989</v>
      </c>
      <c r="D308" s="2">
        <v>-5.5E-2</v>
      </c>
      <c r="E308" s="2">
        <v>4461</v>
      </c>
      <c r="F308" s="2">
        <v>9.7399999999999993E-4</v>
      </c>
      <c r="G308" s="2">
        <v>-0.51429999999999998</v>
      </c>
      <c r="H308" s="2">
        <v>7.1660000000000004</v>
      </c>
      <c r="I308" s="2">
        <v>20778</v>
      </c>
      <c r="J308" s="2">
        <v>0.9788</v>
      </c>
      <c r="K308" s="2">
        <v>710</v>
      </c>
      <c r="L308" s="2">
        <v>9.6319999999999989E-2</v>
      </c>
      <c r="M308" s="2">
        <v>0.2596</v>
      </c>
      <c r="N308">
        <f t="shared" si="56"/>
        <v>9.7399999999999991E-7</v>
      </c>
      <c r="O308" s="7">
        <f t="shared" si="52"/>
        <v>3288841924.6904926</v>
      </c>
      <c r="P308" s="7">
        <f t="shared" si="57"/>
        <v>1.0378795792261269E+17</v>
      </c>
      <c r="Q308">
        <f t="shared" si="58"/>
        <v>67823515.999999985</v>
      </c>
      <c r="R308">
        <f t="shared" si="59"/>
        <v>49440140000000</v>
      </c>
      <c r="S308" s="1">
        <f t="shared" si="60"/>
        <v>1.9890000000000001E+33</v>
      </c>
      <c r="T308" s="1">
        <f t="shared" si="61"/>
        <v>1.9468332E+33</v>
      </c>
      <c r="U308" s="8">
        <f t="shared" si="53"/>
        <v>6.0538673589324415E-17</v>
      </c>
      <c r="V308" s="11">
        <f t="shared" si="54"/>
        <v>2.3751993805614673E+48</v>
      </c>
      <c r="W308" s="1">
        <f t="shared" si="55"/>
        <v>8.8127582563821453E+47</v>
      </c>
      <c r="X308">
        <f t="shared" si="62"/>
        <v>48.375700071326463</v>
      </c>
      <c r="Y308">
        <f t="shared" si="63"/>
        <v>47.945111857111883</v>
      </c>
      <c r="AA308" s="10">
        <f t="shared" si="64"/>
        <v>3288.8419246904928</v>
      </c>
    </row>
    <row r="309" spans="1:27" x14ac:dyDescent="0.25">
      <c r="A309" s="2">
        <v>1</v>
      </c>
      <c r="B309" s="2">
        <v>9.5212070000000004</v>
      </c>
      <c r="C309" s="6">
        <v>3.7538127835647019</v>
      </c>
      <c r="D309" s="2">
        <v>-5.3999999999999999E-2</v>
      </c>
      <c r="E309" s="2">
        <v>4460</v>
      </c>
      <c r="F309" s="2">
        <v>9.7399999999999993E-4</v>
      </c>
      <c r="G309" s="2">
        <v>-0.51429999999999998</v>
      </c>
      <c r="H309" s="2">
        <v>7.1660000000000004</v>
      </c>
      <c r="I309" s="2">
        <v>20798</v>
      </c>
      <c r="J309" s="2">
        <v>0.9798</v>
      </c>
      <c r="K309" s="2">
        <v>715.8</v>
      </c>
      <c r="L309" s="2">
        <v>9.4390000000000002E-2</v>
      </c>
      <c r="M309" s="2">
        <v>0.2601</v>
      </c>
      <c r="N309">
        <f t="shared" si="56"/>
        <v>9.7399999999999991E-7</v>
      </c>
      <c r="O309" s="7">
        <f t="shared" si="52"/>
        <v>3320526878.1135879</v>
      </c>
      <c r="P309" s="7">
        <f t="shared" si="57"/>
        <v>1.0478785900875736E+17</v>
      </c>
      <c r="Q309">
        <f t="shared" si="58"/>
        <v>67823515.999999985</v>
      </c>
      <c r="R309">
        <f t="shared" si="59"/>
        <v>49844017200000</v>
      </c>
      <c r="S309" s="1">
        <f t="shared" si="60"/>
        <v>1.9890000000000001E+33</v>
      </c>
      <c r="T309" s="1">
        <f t="shared" si="61"/>
        <v>1.9488222000000001E+33</v>
      </c>
      <c r="U309" s="8">
        <f t="shared" si="53"/>
        <v>5.9961004706227332E-17</v>
      </c>
      <c r="V309" s="11">
        <f t="shared" si="54"/>
        <v>2.3797741097227953E+48</v>
      </c>
      <c r="W309" s="1">
        <f t="shared" si="55"/>
        <v>8.6361737107548875E+47</v>
      </c>
      <c r="X309">
        <f t="shared" si="62"/>
        <v>48.376535735394008</v>
      </c>
      <c r="Y309">
        <f t="shared" si="63"/>
        <v>47.936321369287896</v>
      </c>
      <c r="AA309" s="10">
        <f t="shared" si="64"/>
        <v>3320.5268781135878</v>
      </c>
    </row>
    <row r="310" spans="1:27" x14ac:dyDescent="0.25">
      <c r="A310" s="2">
        <v>1</v>
      </c>
      <c r="B310" s="2">
        <v>9.5253309999999995</v>
      </c>
      <c r="C310" s="6">
        <v>3.7538893314598334</v>
      </c>
      <c r="D310" s="2">
        <v>-5.2999999999999999E-2</v>
      </c>
      <c r="E310" s="2">
        <v>4459</v>
      </c>
      <c r="F310" s="2">
        <v>9.7499999999999996E-4</v>
      </c>
      <c r="G310" s="2">
        <v>-0.51429999999999998</v>
      </c>
      <c r="H310" s="2">
        <v>7.1669999999999998</v>
      </c>
      <c r="I310" s="2">
        <v>20819</v>
      </c>
      <c r="J310" s="2">
        <v>0.9798</v>
      </c>
      <c r="K310" s="2">
        <v>716.1</v>
      </c>
      <c r="L310" s="2">
        <v>9.4370000000000009E-2</v>
      </c>
      <c r="M310" s="2">
        <v>0.25989999999999996</v>
      </c>
      <c r="N310">
        <f t="shared" si="56"/>
        <v>9.7499999999999998E-7</v>
      </c>
      <c r="O310" s="7">
        <f t="shared" si="52"/>
        <v>3352208322.7741733</v>
      </c>
      <c r="P310" s="7">
        <f t="shared" si="57"/>
        <v>1.0578764936677826E+17</v>
      </c>
      <c r="Q310">
        <f t="shared" si="58"/>
        <v>67893150</v>
      </c>
      <c r="R310">
        <f t="shared" si="59"/>
        <v>49864907400000</v>
      </c>
      <c r="S310" s="1">
        <f t="shared" si="60"/>
        <v>1.9890000000000001E+33</v>
      </c>
      <c r="T310" s="1">
        <f t="shared" si="61"/>
        <v>1.9488222000000001E+33</v>
      </c>
      <c r="U310" s="8">
        <f t="shared" si="53"/>
        <v>5.9394318191106052E-17</v>
      </c>
      <c r="V310" s="11">
        <f t="shared" si="54"/>
        <v>2.3828295669877153E+48</v>
      </c>
      <c r="W310" s="1">
        <f t="shared" si="55"/>
        <v>8.6520825793240002E+47</v>
      </c>
      <c r="X310">
        <f t="shared" si="62"/>
        <v>48.377092980338986</v>
      </c>
      <c r="Y310">
        <f t="shared" si="63"/>
        <v>47.937120655886517</v>
      </c>
      <c r="AA310" s="10">
        <f t="shared" si="64"/>
        <v>3352.2083227741732</v>
      </c>
    </row>
    <row r="311" spans="1:27" x14ac:dyDescent="0.25">
      <c r="A311" s="2">
        <v>1</v>
      </c>
      <c r="B311" s="2">
        <v>9.5294179999999997</v>
      </c>
      <c r="C311" s="6">
        <v>3.7539658658651605</v>
      </c>
      <c r="D311" s="2">
        <v>-5.0999999999999997E-2</v>
      </c>
      <c r="E311" s="2">
        <v>4459</v>
      </c>
      <c r="F311" s="2">
        <v>9.7599999999999998E-4</v>
      </c>
      <c r="G311" s="2">
        <v>-0.51429999999999998</v>
      </c>
      <c r="H311" s="2">
        <v>7.1669999999999998</v>
      </c>
      <c r="I311" s="2">
        <v>20839</v>
      </c>
      <c r="J311" s="2">
        <v>0.9798</v>
      </c>
      <c r="K311" s="2">
        <v>716.5</v>
      </c>
      <c r="L311" s="2">
        <v>9.4349999999999989E-2</v>
      </c>
      <c r="M311" s="2">
        <v>0.2596</v>
      </c>
      <c r="N311">
        <f t="shared" si="56"/>
        <v>9.7600000000000006E-7</v>
      </c>
      <c r="O311" s="7">
        <f t="shared" si="52"/>
        <v>3383903736.7846451</v>
      </c>
      <c r="P311" s="7">
        <f t="shared" si="57"/>
        <v>1.0678788056395512E+17</v>
      </c>
      <c r="Q311">
        <f t="shared" si="58"/>
        <v>67962784</v>
      </c>
      <c r="R311">
        <f t="shared" si="59"/>
        <v>49892761000000</v>
      </c>
      <c r="S311" s="1">
        <f t="shared" si="60"/>
        <v>1.9890000000000001E+33</v>
      </c>
      <c r="T311" s="1">
        <f t="shared" si="61"/>
        <v>1.9488222000000001E+33</v>
      </c>
      <c r="U311" s="8">
        <f t="shared" si="53"/>
        <v>5.8837999911577938E-17</v>
      </c>
      <c r="V311" s="11">
        <f t="shared" si="54"/>
        <v>2.3849638075989287E+48</v>
      </c>
      <c r="W311" s="1">
        <f t="shared" si="55"/>
        <v>8.6680021281571217E+47</v>
      </c>
      <c r="X311">
        <f t="shared" si="62"/>
        <v>48.377481792902614</v>
      </c>
      <c r="Y311">
        <f t="shared" si="63"/>
        <v>47.937919009275234</v>
      </c>
      <c r="AA311" s="10">
        <f t="shared" si="64"/>
        <v>3383.9037367846449</v>
      </c>
    </row>
    <row r="312" spans="1:27" x14ac:dyDescent="0.25">
      <c r="A312" s="2">
        <v>1</v>
      </c>
      <c r="B312" s="2">
        <v>9.5334660000000007</v>
      </c>
      <c r="C312" s="6">
        <v>3.7540423867854362</v>
      </c>
      <c r="D312" s="2">
        <v>-0.05</v>
      </c>
      <c r="E312" s="2">
        <v>4458</v>
      </c>
      <c r="F312" s="2">
        <v>9.77E-4</v>
      </c>
      <c r="G312" s="2">
        <v>-0.51429999999999998</v>
      </c>
      <c r="H312" s="2">
        <v>7.1680000000000001</v>
      </c>
      <c r="I312" s="2">
        <v>20860</v>
      </c>
      <c r="J312" s="2">
        <v>0.9798</v>
      </c>
      <c r="K312" s="2">
        <v>716.8</v>
      </c>
      <c r="L312" s="2">
        <v>9.4329999999999997E-2</v>
      </c>
      <c r="M312" s="2">
        <v>0.25939999999999996</v>
      </c>
      <c r="N312">
        <f t="shared" si="56"/>
        <v>9.7699999999999992E-7</v>
      </c>
      <c r="O312" s="7">
        <f t="shared" si="52"/>
        <v>3415592096.8840556</v>
      </c>
      <c r="P312" s="7">
        <f t="shared" si="57"/>
        <v>1.0778788915662827E+17</v>
      </c>
      <c r="Q312">
        <f t="shared" si="58"/>
        <v>68032418</v>
      </c>
      <c r="R312">
        <f t="shared" si="59"/>
        <v>49913651199999.992</v>
      </c>
      <c r="S312" s="1">
        <f t="shared" si="60"/>
        <v>1.9890000000000001E+33</v>
      </c>
      <c r="T312" s="1">
        <f t="shared" si="61"/>
        <v>1.9488222000000001E+33</v>
      </c>
      <c r="U312" s="8">
        <f t="shared" si="53"/>
        <v>5.8292126845989079E-17</v>
      </c>
      <c r="V312" s="11">
        <f t="shared" si="54"/>
        <v>2.3880123507575867E+48</v>
      </c>
      <c r="W312" s="1">
        <f t="shared" si="55"/>
        <v>8.6839323456809244E+47</v>
      </c>
      <c r="X312">
        <f t="shared" si="62"/>
        <v>48.378036568626506</v>
      </c>
      <c r="Y312">
        <f t="shared" si="63"/>
        <v>47.938716431317168</v>
      </c>
      <c r="AA312" s="10">
        <f t="shared" si="64"/>
        <v>3415.5920968840555</v>
      </c>
    </row>
    <row r="313" spans="1:27" x14ac:dyDescent="0.25">
      <c r="A313" s="2">
        <v>1</v>
      </c>
      <c r="B313" s="2">
        <v>9.5374770000000009</v>
      </c>
      <c r="C313" s="6">
        <v>3.7541188942254129</v>
      </c>
      <c r="D313" s="2">
        <v>-4.9000000000000002E-2</v>
      </c>
      <c r="E313" s="2">
        <v>4457</v>
      </c>
      <c r="F313" s="2">
        <v>9.7799999999999992E-4</v>
      </c>
      <c r="G313" s="2">
        <v>-0.51429999999999998</v>
      </c>
      <c r="H313" s="2">
        <v>7.1680000000000001</v>
      </c>
      <c r="I313" s="2">
        <v>20882</v>
      </c>
      <c r="J313" s="2">
        <v>0.9798</v>
      </c>
      <c r="K313" s="2">
        <v>717.2</v>
      </c>
      <c r="L313" s="2">
        <v>9.4310000000000005E-2</v>
      </c>
      <c r="M313" s="2">
        <v>0.25919999999999999</v>
      </c>
      <c r="N313">
        <f t="shared" si="56"/>
        <v>9.78E-7</v>
      </c>
      <c r="O313" s="7">
        <f t="shared" si="52"/>
        <v>3447283494.6346374</v>
      </c>
      <c r="P313" s="7">
        <f t="shared" si="57"/>
        <v>1.0878799361028203E+17</v>
      </c>
      <c r="Q313">
        <f t="shared" si="58"/>
        <v>68102052</v>
      </c>
      <c r="R313">
        <f t="shared" si="59"/>
        <v>49941504800000</v>
      </c>
      <c r="S313" s="1">
        <f t="shared" si="60"/>
        <v>1.9890000000000001E+33</v>
      </c>
      <c r="T313" s="1">
        <f t="shared" si="61"/>
        <v>1.9488222000000001E+33</v>
      </c>
      <c r="U313" s="8">
        <f t="shared" si="53"/>
        <v>5.7756238521028623E-17</v>
      </c>
      <c r="V313" s="11">
        <f t="shared" si="54"/>
        <v>2.3910583593547644E+48</v>
      </c>
      <c r="W313" s="1">
        <f t="shared" si="55"/>
        <v>8.6998732203220639E+47</v>
      </c>
      <c r="X313">
        <f t="shared" si="62"/>
        <v>48.378590176214658</v>
      </c>
      <c r="Y313">
        <f t="shared" si="63"/>
        <v>47.939512923869685</v>
      </c>
      <c r="AA313" s="10">
        <f t="shared" si="64"/>
        <v>3447.2834946346375</v>
      </c>
    </row>
    <row r="314" spans="1:27" x14ac:dyDescent="0.25">
      <c r="A314" s="2">
        <v>1</v>
      </c>
      <c r="B314" s="2">
        <v>9.5414510000000003</v>
      </c>
      <c r="C314" s="6">
        <v>3.7541953881898382</v>
      </c>
      <c r="D314" s="2">
        <v>-4.8000000000000001E-2</v>
      </c>
      <c r="E314" s="2">
        <v>4456</v>
      </c>
      <c r="F314" s="2">
        <v>9.7900000000000005E-4</v>
      </c>
      <c r="G314" s="2">
        <v>-0.51429999999999998</v>
      </c>
      <c r="H314" s="2">
        <v>7.1689999999999996</v>
      </c>
      <c r="I314" s="2">
        <v>20903</v>
      </c>
      <c r="J314" s="2">
        <v>0.9798</v>
      </c>
      <c r="K314" s="2">
        <v>717.6</v>
      </c>
      <c r="L314" s="2">
        <v>9.4290000000000013E-2</v>
      </c>
      <c r="M314" s="2">
        <v>0.25900000000000001</v>
      </c>
      <c r="N314">
        <f t="shared" si="56"/>
        <v>9.7900000000000007E-7</v>
      </c>
      <c r="O314" s="7">
        <f t="shared" si="52"/>
        <v>3478972533.4622798</v>
      </c>
      <c r="P314" s="7">
        <f t="shared" si="57"/>
        <v>1.0978802362198925E+17</v>
      </c>
      <c r="Q314">
        <f t="shared" si="58"/>
        <v>68171686</v>
      </c>
      <c r="R314">
        <f t="shared" si="59"/>
        <v>49969358400000</v>
      </c>
      <c r="S314" s="1">
        <f t="shared" si="60"/>
        <v>1.9890000000000001E+33</v>
      </c>
      <c r="T314" s="1">
        <f t="shared" si="61"/>
        <v>1.9488222000000001E+33</v>
      </c>
      <c r="U314" s="8">
        <f t="shared" si="53"/>
        <v>5.7230152250606128E-17</v>
      </c>
      <c r="V314" s="11">
        <f t="shared" si="54"/>
        <v>2.3941018218171218E+48</v>
      </c>
      <c r="W314" s="1">
        <f t="shared" si="55"/>
        <v>8.7158247405071978E+47</v>
      </c>
      <c r="X314">
        <f t="shared" si="62"/>
        <v>48.37914261712843</v>
      </c>
      <c r="Y314">
        <f t="shared" si="63"/>
        <v>47.940308488784417</v>
      </c>
      <c r="AA314" s="10">
        <f t="shared" si="64"/>
        <v>3478.9725334622799</v>
      </c>
    </row>
    <row r="315" spans="1:27" x14ac:dyDescent="0.25">
      <c r="A315" s="2">
        <v>1</v>
      </c>
      <c r="B315" s="2">
        <v>9.5453880000000009</v>
      </c>
      <c r="C315" s="6">
        <v>3.7542718686834591</v>
      </c>
      <c r="D315" s="2">
        <v>-4.7E-2</v>
      </c>
      <c r="E315" s="2">
        <v>4456</v>
      </c>
      <c r="F315" s="2">
        <v>9.7900000000000005E-4</v>
      </c>
      <c r="G315" s="2">
        <v>-0.51429999999999998</v>
      </c>
      <c r="H315" s="2">
        <v>7.1689999999999996</v>
      </c>
      <c r="I315" s="2">
        <v>20924</v>
      </c>
      <c r="J315" s="2">
        <v>0.9798</v>
      </c>
      <c r="K315" s="2">
        <v>718</v>
      </c>
      <c r="L315" s="2">
        <v>9.4269999999999993E-2</v>
      </c>
      <c r="M315" s="2">
        <v>0.25869999999999999</v>
      </c>
      <c r="N315">
        <f t="shared" si="56"/>
        <v>9.7900000000000007E-7</v>
      </c>
      <c r="O315" s="7">
        <f t="shared" si="52"/>
        <v>3510653767.5597811</v>
      </c>
      <c r="P315" s="7">
        <f t="shared" si="57"/>
        <v>1.1078780733514454E+17</v>
      </c>
      <c r="Q315">
        <f t="shared" si="58"/>
        <v>68171686</v>
      </c>
      <c r="R315">
        <f t="shared" si="59"/>
        <v>49997212000000</v>
      </c>
      <c r="S315" s="1">
        <f t="shared" si="60"/>
        <v>1.9890000000000001E+33</v>
      </c>
      <c r="T315" s="1">
        <f t="shared" si="61"/>
        <v>1.9488222000000001E+33</v>
      </c>
      <c r="U315" s="8">
        <f t="shared" si="53"/>
        <v>5.6713689514337108E-17</v>
      </c>
      <c r="V315" s="11">
        <f t="shared" si="54"/>
        <v>2.3913287309038196E+48</v>
      </c>
      <c r="W315" s="1">
        <f t="shared" si="55"/>
        <v>8.7139760132316623E+47</v>
      </c>
      <c r="X315">
        <f t="shared" si="62"/>
        <v>48.378639281763718</v>
      </c>
      <c r="Y315">
        <f t="shared" si="63"/>
        <v>47.940216360128602</v>
      </c>
      <c r="AA315" s="10">
        <f t="shared" si="64"/>
        <v>3510.653767559781</v>
      </c>
    </row>
    <row r="316" spans="1:27" x14ac:dyDescent="0.25">
      <c r="A316" s="2">
        <v>1</v>
      </c>
      <c r="B316" s="2">
        <v>9.5492899999999992</v>
      </c>
      <c r="C316" s="6">
        <v>3.7543483357110188</v>
      </c>
      <c r="D316" s="2">
        <v>-4.5999999999999999E-2</v>
      </c>
      <c r="E316" s="2">
        <v>4455</v>
      </c>
      <c r="F316" s="2">
        <v>9.7999999999999997E-4</v>
      </c>
      <c r="G316" s="2">
        <v>-0.51429999999999998</v>
      </c>
      <c r="H316" s="2">
        <v>7.17</v>
      </c>
      <c r="I316" s="2">
        <v>20945</v>
      </c>
      <c r="J316" s="2">
        <v>0.9798</v>
      </c>
      <c r="K316" s="2">
        <v>718.4</v>
      </c>
      <c r="L316" s="2">
        <v>9.425E-2</v>
      </c>
      <c r="M316" s="2">
        <v>0.25850000000000001</v>
      </c>
      <c r="N316">
        <f t="shared" si="56"/>
        <v>9.7999999999999993E-7</v>
      </c>
      <c r="O316" s="7">
        <f t="shared" si="52"/>
        <v>3542338016.3303223</v>
      </c>
      <c r="P316" s="7">
        <f t="shared" si="57"/>
        <v>1.1178768618414578E+17</v>
      </c>
      <c r="Q316">
        <f t="shared" si="58"/>
        <v>68241320</v>
      </c>
      <c r="R316">
        <f t="shared" si="59"/>
        <v>50025065600000</v>
      </c>
      <c r="S316" s="1">
        <f t="shared" si="60"/>
        <v>1.9890000000000001E+33</v>
      </c>
      <c r="T316" s="1">
        <f t="shared" si="61"/>
        <v>1.9488222000000001E+33</v>
      </c>
      <c r="U316" s="8">
        <f t="shared" si="53"/>
        <v>5.6206417018323574E-17</v>
      </c>
      <c r="V316" s="11">
        <f t="shared" si="54"/>
        <v>2.3943639676147049E+48</v>
      </c>
      <c r="W316" s="1">
        <f t="shared" si="55"/>
        <v>8.7299343886919117E+47</v>
      </c>
      <c r="X316">
        <f t="shared" si="62"/>
        <v>48.379190168255853</v>
      </c>
      <c r="Y316">
        <f t="shared" si="63"/>
        <v>47.941010979703719</v>
      </c>
      <c r="AA316" s="10">
        <f t="shared" si="64"/>
        <v>3542.3380163303223</v>
      </c>
    </row>
    <row r="317" spans="1:27" x14ac:dyDescent="0.25">
      <c r="A317" s="2">
        <v>1</v>
      </c>
      <c r="B317" s="2">
        <v>9.5531579999999998</v>
      </c>
      <c r="C317" s="6">
        <v>3.7544247892772584</v>
      </c>
      <c r="D317" s="2">
        <v>-4.4999999999999998E-2</v>
      </c>
      <c r="E317" s="2">
        <v>4454</v>
      </c>
      <c r="F317" s="2">
        <v>9.8099999999999988E-4</v>
      </c>
      <c r="G317" s="2">
        <v>-0.51429999999999998</v>
      </c>
      <c r="H317" s="2">
        <v>7.17</v>
      </c>
      <c r="I317" s="2">
        <v>20966</v>
      </c>
      <c r="J317" s="2">
        <v>0.9798</v>
      </c>
      <c r="K317" s="2">
        <v>718.7</v>
      </c>
      <c r="L317" s="2">
        <v>9.4230000000000008E-2</v>
      </c>
      <c r="M317" s="2">
        <v>0.25830000000000003</v>
      </c>
      <c r="N317">
        <f t="shared" si="56"/>
        <v>9.809999999999998E-7</v>
      </c>
      <c r="O317" s="7">
        <f t="shared" si="52"/>
        <v>3574028406.7408285</v>
      </c>
      <c r="P317" s="7">
        <f t="shared" si="57"/>
        <v>1.1278775884856437E+17</v>
      </c>
      <c r="Q317">
        <f t="shared" si="58"/>
        <v>68310953.999999985</v>
      </c>
      <c r="R317">
        <f t="shared" si="59"/>
        <v>50045955800000</v>
      </c>
      <c r="S317" s="1">
        <f t="shared" si="60"/>
        <v>1.9890000000000001E+33</v>
      </c>
      <c r="T317" s="1">
        <f t="shared" si="61"/>
        <v>1.9488222000000001E+33</v>
      </c>
      <c r="U317" s="8">
        <f t="shared" si="53"/>
        <v>5.5708042888020937E-17</v>
      </c>
      <c r="V317" s="11">
        <f t="shared" si="54"/>
        <v>2.3973966292574179E+48</v>
      </c>
      <c r="W317" s="1">
        <f t="shared" si="55"/>
        <v>8.7459033826916961E+47</v>
      </c>
      <c r="X317">
        <f t="shared" si="62"/>
        <v>48.379739890374118</v>
      </c>
      <c r="Y317">
        <f t="shared" si="63"/>
        <v>47.941804675318963</v>
      </c>
      <c r="AA317" s="10">
        <f t="shared" si="64"/>
        <v>3574.0284067408284</v>
      </c>
    </row>
    <row r="318" spans="1:27" x14ac:dyDescent="0.25">
      <c r="A318" s="2">
        <v>1</v>
      </c>
      <c r="B318" s="2">
        <v>9.5569919999999993</v>
      </c>
      <c r="C318" s="6">
        <v>3.7545776560447304</v>
      </c>
      <c r="D318" s="2">
        <v>-4.3999999999999997E-2</v>
      </c>
      <c r="E318" s="2">
        <v>4453</v>
      </c>
      <c r="F318" s="2">
        <v>9.8200000000000002E-4</v>
      </c>
      <c r="G318" s="2">
        <v>-0.51429999999999998</v>
      </c>
      <c r="H318" s="2">
        <v>7.1710000000000003</v>
      </c>
      <c r="I318" s="2">
        <v>20988</v>
      </c>
      <c r="J318" s="2">
        <v>0.9798</v>
      </c>
      <c r="K318" s="2">
        <v>719.1</v>
      </c>
      <c r="L318" s="2">
        <v>9.4200000000000006E-2</v>
      </c>
      <c r="M318" s="2">
        <v>0.2581</v>
      </c>
      <c r="N318">
        <f t="shared" si="56"/>
        <v>9.8200000000000008E-7</v>
      </c>
      <c r="O318" s="7">
        <f t="shared" si="52"/>
        <v>3605720009.7875199</v>
      </c>
      <c r="P318" s="7">
        <f t="shared" si="57"/>
        <v>1.1378786978087064E+17</v>
      </c>
      <c r="Q318">
        <f t="shared" si="58"/>
        <v>68380588</v>
      </c>
      <c r="R318">
        <f t="shared" si="59"/>
        <v>50073809400000</v>
      </c>
      <c r="S318" s="1">
        <f t="shared" si="60"/>
        <v>1.9890000000000001E+33</v>
      </c>
      <c r="T318" s="1">
        <f t="shared" si="61"/>
        <v>1.9488222000000001E+33</v>
      </c>
      <c r="U318" s="8">
        <f t="shared" si="53"/>
        <v>5.5218410532507208E-17</v>
      </c>
      <c r="V318" s="11">
        <f t="shared" si="54"/>
        <v>2.4004267042586217E+48</v>
      </c>
      <c r="W318" s="1">
        <f t="shared" si="55"/>
        <v>8.7609529461899335E+47</v>
      </c>
      <c r="X318">
        <f t="shared" si="62"/>
        <v>48.38028844955867</v>
      </c>
      <c r="Y318">
        <f t="shared" si="63"/>
        <v>47.942551347807679</v>
      </c>
      <c r="AA318" s="10">
        <f t="shared" si="64"/>
        <v>3605.7200097875198</v>
      </c>
    </row>
    <row r="319" spans="1:27" x14ac:dyDescent="0.25">
      <c r="A319" s="2">
        <v>1</v>
      </c>
      <c r="B319" s="2">
        <v>9.5607919999999993</v>
      </c>
      <c r="C319" s="6">
        <v>3.754654069255432</v>
      </c>
      <c r="D319" s="2">
        <v>-4.2999999999999997E-2</v>
      </c>
      <c r="E319" s="2">
        <v>4452</v>
      </c>
      <c r="F319" s="2">
        <v>9.8299999999999993E-4</v>
      </c>
      <c r="G319" s="2">
        <v>-0.51429999999999998</v>
      </c>
      <c r="H319" s="2">
        <v>7.1710000000000003</v>
      </c>
      <c r="I319" s="2">
        <v>21009</v>
      </c>
      <c r="J319" s="2">
        <v>0.9798</v>
      </c>
      <c r="K319" s="2">
        <v>719.5</v>
      </c>
      <c r="L319" s="2">
        <v>9.4180000000000014E-2</v>
      </c>
      <c r="M319" s="2">
        <v>0.25780000000000003</v>
      </c>
      <c r="N319">
        <f t="shared" si="56"/>
        <v>9.8299999999999995E-7</v>
      </c>
      <c r="O319" s="7">
        <f t="shared" si="52"/>
        <v>3637407852.2804112</v>
      </c>
      <c r="P319" s="7">
        <f t="shared" si="57"/>
        <v>1.147878620391243E+17</v>
      </c>
      <c r="Q319">
        <f t="shared" si="58"/>
        <v>68450222</v>
      </c>
      <c r="R319">
        <f t="shared" si="59"/>
        <v>50101663000000</v>
      </c>
      <c r="S319" s="1">
        <f t="shared" si="60"/>
        <v>1.9890000000000001E+33</v>
      </c>
      <c r="T319" s="1">
        <f t="shared" si="61"/>
        <v>1.9488222000000001E+33</v>
      </c>
      <c r="U319" s="8">
        <f t="shared" si="53"/>
        <v>5.473736678742239E-17</v>
      </c>
      <c r="V319" s="11">
        <f t="shared" si="54"/>
        <v>2.4025222484427851E+48</v>
      </c>
      <c r="W319" s="1">
        <f t="shared" si="55"/>
        <v>8.7769412474143325E+47</v>
      </c>
      <c r="X319">
        <f t="shared" si="62"/>
        <v>48.380667418122556</v>
      </c>
      <c r="Y319">
        <f t="shared" si="63"/>
        <v>47.943343191211873</v>
      </c>
      <c r="AA319" s="10">
        <f t="shared" si="64"/>
        <v>3637.4078522804111</v>
      </c>
    </row>
    <row r="320" spans="1:27" x14ac:dyDescent="0.25">
      <c r="A320" s="2">
        <v>1</v>
      </c>
      <c r="B320" s="2">
        <v>9.5645579999999999</v>
      </c>
      <c r="C320" s="6">
        <v>3.7547304690237535</v>
      </c>
      <c r="D320" s="2">
        <v>-4.2000000000000003E-2</v>
      </c>
      <c r="E320" s="2">
        <v>4452</v>
      </c>
      <c r="F320" s="2">
        <v>9.8400000000000007E-4</v>
      </c>
      <c r="G320" s="2">
        <v>-0.51429999999999998</v>
      </c>
      <c r="H320" s="2">
        <v>7.1719999999999997</v>
      </c>
      <c r="I320" s="2">
        <v>21031</v>
      </c>
      <c r="J320" s="2">
        <v>0.9798</v>
      </c>
      <c r="K320" s="2">
        <v>719.8</v>
      </c>
      <c r="L320" s="2">
        <v>9.4159999999999994E-2</v>
      </c>
      <c r="M320" s="2">
        <v>0.2576</v>
      </c>
      <c r="N320">
        <f t="shared" si="56"/>
        <v>9.8400000000000002E-7</v>
      </c>
      <c r="O320" s="7">
        <f t="shared" si="52"/>
        <v>3669086918.0155759</v>
      </c>
      <c r="P320" s="7">
        <f t="shared" si="57"/>
        <v>1.1578757732396834E+17</v>
      </c>
      <c r="Q320">
        <f t="shared" si="58"/>
        <v>68519856</v>
      </c>
      <c r="R320">
        <f t="shared" si="59"/>
        <v>50122553199999.992</v>
      </c>
      <c r="S320" s="1">
        <f t="shared" si="60"/>
        <v>1.9890000000000001E+33</v>
      </c>
      <c r="T320" s="1">
        <f t="shared" si="61"/>
        <v>1.9488222000000001E+33</v>
      </c>
      <c r="U320" s="8">
        <f t="shared" si="53"/>
        <v>5.4264761837096927E-17</v>
      </c>
      <c r="V320" s="11">
        <f t="shared" si="54"/>
        <v>2.4055452183776147E+48</v>
      </c>
      <c r="W320" s="1">
        <f t="shared" si="55"/>
        <v>8.792940130529356E+47</v>
      </c>
      <c r="X320">
        <f t="shared" si="62"/>
        <v>48.38121352499136</v>
      </c>
      <c r="Y320">
        <f t="shared" si="63"/>
        <v>47.944134116138962</v>
      </c>
      <c r="AA320" s="10">
        <f t="shared" si="64"/>
        <v>3669.086918015576</v>
      </c>
    </row>
    <row r="321" spans="1:27" x14ac:dyDescent="0.25">
      <c r="A321" s="2">
        <v>1</v>
      </c>
      <c r="B321" s="2">
        <v>9.5682930000000006</v>
      </c>
      <c r="C321" s="6">
        <v>3.7548068553544232</v>
      </c>
      <c r="D321" s="2">
        <v>-0.04</v>
      </c>
      <c r="E321" s="2">
        <v>4451</v>
      </c>
      <c r="F321" s="2">
        <v>9.8499999999999998E-4</v>
      </c>
      <c r="G321" s="2">
        <v>-0.51429999999999998</v>
      </c>
      <c r="H321" s="2">
        <v>7.1719999999999997</v>
      </c>
      <c r="I321" s="2">
        <v>21053</v>
      </c>
      <c r="J321" s="2">
        <v>0.9798</v>
      </c>
      <c r="K321" s="2">
        <v>720.2</v>
      </c>
      <c r="L321" s="2">
        <v>9.4140000000000001E-2</v>
      </c>
      <c r="M321" s="2">
        <v>0.25739999999999996</v>
      </c>
      <c r="N321">
        <f t="shared" si="56"/>
        <v>9.8499999999999989E-7</v>
      </c>
      <c r="O321" s="7">
        <f t="shared" si="52"/>
        <v>3700777712.9532957</v>
      </c>
      <c r="P321" s="7">
        <f t="shared" si="57"/>
        <v>1.1678766275429493E+17</v>
      </c>
      <c r="Q321">
        <f t="shared" si="58"/>
        <v>68589490</v>
      </c>
      <c r="R321">
        <f t="shared" si="59"/>
        <v>50150406800000</v>
      </c>
      <c r="S321" s="1">
        <f t="shared" si="60"/>
        <v>1.9890000000000001E+33</v>
      </c>
      <c r="T321" s="1">
        <f t="shared" si="61"/>
        <v>1.9488222000000001E+33</v>
      </c>
      <c r="U321" s="8">
        <f t="shared" si="53"/>
        <v>5.3800077499611737E-17</v>
      </c>
      <c r="V321" s="11">
        <f t="shared" si="54"/>
        <v>2.4085655650220234E+48</v>
      </c>
      <c r="W321" s="1">
        <f t="shared" si="55"/>
        <v>8.8089495839616679E+47</v>
      </c>
      <c r="X321">
        <f t="shared" si="62"/>
        <v>48.381758473004496</v>
      </c>
      <c r="Y321">
        <f t="shared" si="63"/>
        <v>47.944924124406704</v>
      </c>
      <c r="AA321" s="10">
        <f t="shared" si="64"/>
        <v>3700.7777129532956</v>
      </c>
    </row>
    <row r="322" spans="1:27" x14ac:dyDescent="0.25">
      <c r="A322" s="2">
        <v>1</v>
      </c>
      <c r="B322" s="2">
        <v>9.5719960000000004</v>
      </c>
      <c r="C322" s="6">
        <v>3.7548832282521674</v>
      </c>
      <c r="D322" s="2">
        <v>-3.9E-2</v>
      </c>
      <c r="E322" s="2">
        <v>4450</v>
      </c>
      <c r="F322" s="2">
        <v>9.859999999999999E-4</v>
      </c>
      <c r="G322" s="2">
        <v>-0.51429999999999998</v>
      </c>
      <c r="H322" s="2">
        <v>7.173</v>
      </c>
      <c r="I322" s="2">
        <v>21074</v>
      </c>
      <c r="J322" s="2">
        <v>0.9798</v>
      </c>
      <c r="K322" s="2">
        <v>720.6</v>
      </c>
      <c r="L322" s="2">
        <v>9.4120000000000009E-2</v>
      </c>
      <c r="M322" s="2">
        <v>0.2571</v>
      </c>
      <c r="N322">
        <f t="shared" si="56"/>
        <v>9.8599999999999996E-7</v>
      </c>
      <c r="O322" s="7">
        <f t="shared" ref="O322:O385" si="65">10^B322</f>
        <v>3732467200.5055528</v>
      </c>
      <c r="P322" s="7">
        <f t="shared" si="57"/>
        <v>1.1778770692667403E+17</v>
      </c>
      <c r="Q322">
        <f t="shared" si="58"/>
        <v>68659124</v>
      </c>
      <c r="R322">
        <f t="shared" si="59"/>
        <v>50178260400000</v>
      </c>
      <c r="S322" s="1">
        <f t="shared" si="60"/>
        <v>1.9890000000000001E+33</v>
      </c>
      <c r="T322" s="1">
        <f t="shared" si="61"/>
        <v>1.9488222000000001E+33</v>
      </c>
      <c r="U322" s="8">
        <f t="shared" ref="U322:U385" si="66">(2*PI())/P322</f>
        <v>5.3343302719111729E-17</v>
      </c>
      <c r="V322" s="11">
        <f t="shared" ref="V322:V385" si="67">M322*S322*(Q322^2)</f>
        <v>2.4106456472238209E+48</v>
      </c>
      <c r="W322" s="1">
        <f t="shared" ref="W322:W385" si="68">L322*S322*(Q322^2)</f>
        <v>8.8249695961379257E+47</v>
      </c>
      <c r="X322">
        <f t="shared" si="62"/>
        <v>48.382133375966184</v>
      </c>
      <c r="Y322">
        <f t="shared" si="63"/>
        <v>47.945713217827311</v>
      </c>
      <c r="AA322" s="10">
        <f t="shared" si="64"/>
        <v>3732.4672005055527</v>
      </c>
    </row>
    <row r="323" spans="1:27" x14ac:dyDescent="0.25">
      <c r="A323" s="2">
        <v>1</v>
      </c>
      <c r="B323" s="2">
        <v>9.5756680000000003</v>
      </c>
      <c r="C323" s="6">
        <v>3.7549595877217099</v>
      </c>
      <c r="D323" s="2">
        <v>-3.7999999999999999E-2</v>
      </c>
      <c r="E323" s="2">
        <v>4449</v>
      </c>
      <c r="F323" s="2">
        <v>9.8700000000000003E-4</v>
      </c>
      <c r="G323" s="2">
        <v>-0.51429999999999998</v>
      </c>
      <c r="H323" s="2">
        <v>7.173</v>
      </c>
      <c r="I323" s="2">
        <v>21096</v>
      </c>
      <c r="J323" s="2">
        <v>0.9798</v>
      </c>
      <c r="K323" s="2">
        <v>721</v>
      </c>
      <c r="L323" s="2">
        <v>9.4090000000000007E-2</v>
      </c>
      <c r="M323" s="2">
        <v>0.25689999999999996</v>
      </c>
      <c r="N323">
        <f t="shared" ref="N323:N386" si="69">F323/(10^3)</f>
        <v>9.8700000000000004E-7</v>
      </c>
      <c r="O323" s="7">
        <f t="shared" si="65"/>
        <v>3764159347.0077276</v>
      </c>
      <c r="P323" s="7">
        <f t="shared" ref="P323:P386" si="70">O323*31557600</f>
        <v>1.1878783500913107E+17</v>
      </c>
      <c r="Q323">
        <f t="shared" ref="Q323:Q386" si="71">F323*6.9634*(10^10)</f>
        <v>68728758</v>
      </c>
      <c r="R323">
        <f t="shared" ref="R323:R386" si="72">K323*6.9634*(10^10)</f>
        <v>50206114000000</v>
      </c>
      <c r="S323" s="1">
        <f t="shared" ref="S323:S386" si="73">A323*1.989*(10^33)</f>
        <v>1.9890000000000001E+33</v>
      </c>
      <c r="T323" s="1">
        <f t="shared" ref="T323:T386" si="74">J323*1.989*(10^33)</f>
        <v>1.9488222000000001E+33</v>
      </c>
      <c r="U323" s="8">
        <f t="shared" si="66"/>
        <v>5.2894181518642927E-17</v>
      </c>
      <c r="V323" s="11">
        <f t="shared" si="67"/>
        <v>2.4136588097173658E+48</v>
      </c>
      <c r="W323" s="1">
        <f t="shared" si="68"/>
        <v>8.8400606230559361E+47</v>
      </c>
      <c r="X323">
        <f t="shared" ref="X323:X386" si="75">LOG(V323)</f>
        <v>48.382675879046523</v>
      </c>
      <c r="Y323">
        <f t="shared" ref="Y323:Y386" si="76">LOG(W323)</f>
        <v>47.946455243312663</v>
      </c>
      <c r="AA323" s="10">
        <f t="shared" ref="AA323:AA386" si="77">O323/(1*1000000)</f>
        <v>3764.1593470077278</v>
      </c>
    </row>
    <row r="324" spans="1:27" x14ac:dyDescent="0.25">
      <c r="A324" s="2">
        <v>1</v>
      </c>
      <c r="B324" s="2">
        <v>9.5793090000000003</v>
      </c>
      <c r="C324" s="6">
        <v>3.7550359337677714</v>
      </c>
      <c r="D324" s="2">
        <v>-3.6999999999999998E-2</v>
      </c>
      <c r="E324" s="2">
        <v>4449</v>
      </c>
      <c r="F324" s="2">
        <v>9.8700000000000003E-4</v>
      </c>
      <c r="G324" s="2">
        <v>-0.51429999999999998</v>
      </c>
      <c r="H324" s="2">
        <v>7.1740000000000004</v>
      </c>
      <c r="I324" s="2">
        <v>21119</v>
      </c>
      <c r="J324" s="2">
        <v>0.9798</v>
      </c>
      <c r="K324" s="2">
        <v>721.4</v>
      </c>
      <c r="L324" s="2">
        <v>9.4079999999999997E-2</v>
      </c>
      <c r="M324" s="2">
        <v>0.25669999999999998</v>
      </c>
      <c r="N324">
        <f t="shared" si="69"/>
        <v>9.8700000000000004E-7</v>
      </c>
      <c r="O324" s="7">
        <f t="shared" si="65"/>
        <v>3795849631.6112552</v>
      </c>
      <c r="P324" s="7">
        <f t="shared" si="70"/>
        <v>1.1978790433453534E+17</v>
      </c>
      <c r="Q324">
        <f t="shared" si="71"/>
        <v>68728758</v>
      </c>
      <c r="R324">
        <f t="shared" si="72"/>
        <v>50233967600000</v>
      </c>
      <c r="S324" s="1">
        <f t="shared" si="73"/>
        <v>1.9890000000000001E+33</v>
      </c>
      <c r="T324" s="1">
        <f t="shared" si="74"/>
        <v>1.9488222000000001E+33</v>
      </c>
      <c r="U324" s="8">
        <f t="shared" si="66"/>
        <v>5.2452585610249451E-17</v>
      </c>
      <c r="V324" s="11">
        <f t="shared" si="67"/>
        <v>2.4117797448596646E+48</v>
      </c>
      <c r="W324" s="1">
        <f t="shared" si="68"/>
        <v>8.8391210906270835E+47</v>
      </c>
      <c r="X324">
        <f t="shared" si="75"/>
        <v>48.382337643451621</v>
      </c>
      <c r="Y324">
        <f t="shared" si="76"/>
        <v>47.946409083512236</v>
      </c>
      <c r="AA324" s="10">
        <f t="shared" si="77"/>
        <v>3795.8496316112551</v>
      </c>
    </row>
    <row r="325" spans="1:27" x14ac:dyDescent="0.25">
      <c r="A325" s="2">
        <v>1</v>
      </c>
      <c r="B325" s="2">
        <v>9.5829190000000004</v>
      </c>
      <c r="C325" s="6">
        <v>3.7551122663950713</v>
      </c>
      <c r="D325" s="2">
        <v>-3.5999999999999997E-2</v>
      </c>
      <c r="E325" s="2">
        <v>4448</v>
      </c>
      <c r="F325" s="2">
        <v>9.8799999999999995E-4</v>
      </c>
      <c r="G325" s="2">
        <v>-0.51429999999999998</v>
      </c>
      <c r="H325" s="2">
        <v>7.1740000000000004</v>
      </c>
      <c r="I325" s="2">
        <v>21141</v>
      </c>
      <c r="J325" s="2">
        <v>0.9798</v>
      </c>
      <c r="K325" s="2">
        <v>721.8</v>
      </c>
      <c r="L325" s="2">
        <v>9.4049999999999995E-2</v>
      </c>
      <c r="M325" s="2">
        <v>0.25639999999999996</v>
      </c>
      <c r="N325">
        <f t="shared" si="69"/>
        <v>9.879999999999999E-7</v>
      </c>
      <c r="O325" s="7">
        <f t="shared" si="65"/>
        <v>3827533495.6451154</v>
      </c>
      <c r="P325" s="7">
        <f t="shared" si="70"/>
        <v>1.2078777104217029E+17</v>
      </c>
      <c r="Q325">
        <f t="shared" si="71"/>
        <v>68798392</v>
      </c>
      <c r="R325">
        <f t="shared" si="72"/>
        <v>50261821199999.992</v>
      </c>
      <c r="S325" s="1">
        <f t="shared" si="73"/>
        <v>1.9890000000000001E+33</v>
      </c>
      <c r="T325" s="1">
        <f t="shared" si="74"/>
        <v>1.9488222000000001E+33</v>
      </c>
      <c r="U325" s="8">
        <f t="shared" si="66"/>
        <v>5.2018389386339086E-17</v>
      </c>
      <c r="V325" s="11">
        <f t="shared" si="67"/>
        <v>2.413845000648356E+48</v>
      </c>
      <c r="W325" s="1">
        <f t="shared" si="68"/>
        <v>8.8542169388056907E+47</v>
      </c>
      <c r="X325">
        <f t="shared" si="75"/>
        <v>48.382709379462938</v>
      </c>
      <c r="Y325">
        <f t="shared" si="76"/>
        <v>47.947150158502559</v>
      </c>
      <c r="AA325" s="10">
        <f t="shared" si="77"/>
        <v>3827.5334956451152</v>
      </c>
    </row>
    <row r="326" spans="1:27" x14ac:dyDescent="0.25">
      <c r="A326" s="2">
        <v>1</v>
      </c>
      <c r="B326" s="2">
        <v>9.5864999999999991</v>
      </c>
      <c r="C326" s="6">
        <v>3.7551885856083249</v>
      </c>
      <c r="D326" s="2">
        <v>-3.5000000000000003E-2</v>
      </c>
      <c r="E326" s="2">
        <v>4447</v>
      </c>
      <c r="F326" s="2">
        <v>9.8900000000000008E-4</v>
      </c>
      <c r="G326" s="2">
        <v>-0.51429999999999998</v>
      </c>
      <c r="H326" s="2">
        <v>7.1749999999999998</v>
      </c>
      <c r="I326" s="2">
        <v>21164</v>
      </c>
      <c r="J326" s="2">
        <v>0.9798</v>
      </c>
      <c r="K326" s="2">
        <v>722.2</v>
      </c>
      <c r="L326" s="2">
        <v>9.4030000000000002E-2</v>
      </c>
      <c r="M326" s="2">
        <v>0.25619999999999998</v>
      </c>
      <c r="N326">
        <f t="shared" si="69"/>
        <v>9.8899999999999998E-7</v>
      </c>
      <c r="O326" s="7">
        <f t="shared" si="65"/>
        <v>3859224115.9472919</v>
      </c>
      <c r="P326" s="7">
        <f t="shared" si="70"/>
        <v>1.2178785096141826E+17</v>
      </c>
      <c r="Q326">
        <f t="shared" si="71"/>
        <v>68868026</v>
      </c>
      <c r="R326">
        <f t="shared" si="72"/>
        <v>50289674800000</v>
      </c>
      <c r="S326" s="1">
        <f t="shared" si="73"/>
        <v>1.9890000000000001E+33</v>
      </c>
      <c r="T326" s="1">
        <f t="shared" si="74"/>
        <v>1.9488222000000001E+33</v>
      </c>
      <c r="U326" s="8">
        <f t="shared" si="66"/>
        <v>5.159123227463851E-17</v>
      </c>
      <c r="V326" s="11">
        <f t="shared" si="67"/>
        <v>2.4168471115665566E+48</v>
      </c>
      <c r="W326" s="1">
        <f t="shared" si="68"/>
        <v>8.8702628376504034E+47</v>
      </c>
      <c r="X326">
        <f t="shared" si="75"/>
        <v>48.383249178043926</v>
      </c>
      <c r="Y326">
        <f t="shared" si="76"/>
        <v>47.947936488743792</v>
      </c>
      <c r="AA326" s="10">
        <f t="shared" si="77"/>
        <v>3859.2241159472919</v>
      </c>
    </row>
    <row r="327" spans="1:27" x14ac:dyDescent="0.25">
      <c r="A327" s="2">
        <v>1</v>
      </c>
      <c r="B327" s="2">
        <v>9.5900510000000008</v>
      </c>
      <c r="C327" s="6">
        <v>3.7552648914122466</v>
      </c>
      <c r="D327" s="2">
        <v>-3.4000000000000002E-2</v>
      </c>
      <c r="E327" s="2">
        <v>4446</v>
      </c>
      <c r="F327" s="2">
        <v>9.8999999999999999E-4</v>
      </c>
      <c r="G327" s="2">
        <v>-0.51429999999999998</v>
      </c>
      <c r="H327" s="2">
        <v>7.1749999999999998</v>
      </c>
      <c r="I327" s="2">
        <v>21186</v>
      </c>
      <c r="J327" s="2">
        <v>0.9798</v>
      </c>
      <c r="K327" s="2">
        <v>722.6</v>
      </c>
      <c r="L327" s="2">
        <v>9.401000000000001E-2</v>
      </c>
      <c r="M327" s="2">
        <v>0.25600000000000001</v>
      </c>
      <c r="N327">
        <f t="shared" si="69"/>
        <v>9.9000000000000005E-7</v>
      </c>
      <c r="O327" s="7">
        <f t="shared" si="65"/>
        <v>3890908339.6401978</v>
      </c>
      <c r="P327" s="7">
        <f t="shared" si="70"/>
        <v>1.227877290190295E+17</v>
      </c>
      <c r="Q327">
        <f t="shared" si="71"/>
        <v>68937660</v>
      </c>
      <c r="R327">
        <f t="shared" si="72"/>
        <v>50317528400000</v>
      </c>
      <c r="S327" s="1">
        <f t="shared" si="73"/>
        <v>1.9890000000000001E+33</v>
      </c>
      <c r="T327" s="1">
        <f t="shared" si="74"/>
        <v>1.9488222000000001E+33</v>
      </c>
      <c r="U327" s="8">
        <f t="shared" si="66"/>
        <v>5.1171117483619436E-17</v>
      </c>
      <c r="V327" s="11">
        <f t="shared" si="67"/>
        <v>2.4198465336120755E+48</v>
      </c>
      <c r="W327" s="1">
        <f t="shared" si="68"/>
        <v>8.8863192431590313E+47</v>
      </c>
      <c r="X327">
        <f t="shared" si="75"/>
        <v>48.383787823947848</v>
      </c>
      <c r="Y327">
        <f t="shared" si="76"/>
        <v>47.948721911318977</v>
      </c>
      <c r="AA327" s="10">
        <f t="shared" si="77"/>
        <v>3890.9083396401979</v>
      </c>
    </row>
    <row r="328" spans="1:27" x14ac:dyDescent="0.25">
      <c r="A328" s="2">
        <v>1</v>
      </c>
      <c r="B328" s="2">
        <v>9.5935740000000003</v>
      </c>
      <c r="C328" s="6">
        <v>3.7554174628109362</v>
      </c>
      <c r="D328" s="2">
        <v>-3.2000000000000001E-2</v>
      </c>
      <c r="E328" s="2">
        <v>4445</v>
      </c>
      <c r="F328" s="2">
        <v>9.9099999999999991E-4</v>
      </c>
      <c r="G328" s="2">
        <v>-0.51429999999999998</v>
      </c>
      <c r="H328" s="2">
        <v>7.1760000000000002</v>
      </c>
      <c r="I328" s="2">
        <v>21209</v>
      </c>
      <c r="J328" s="2">
        <v>0.9798</v>
      </c>
      <c r="K328" s="2">
        <v>723</v>
      </c>
      <c r="L328" s="2">
        <v>9.398999999999999E-2</v>
      </c>
      <c r="M328" s="2">
        <v>0.25569999999999998</v>
      </c>
      <c r="N328">
        <f t="shared" si="69"/>
        <v>9.9099999999999991E-7</v>
      </c>
      <c r="O328" s="7">
        <f t="shared" si="65"/>
        <v>3922599783.2511635</v>
      </c>
      <c r="P328" s="7">
        <f t="shared" si="70"/>
        <v>1.2378783491992691E+17</v>
      </c>
      <c r="Q328">
        <f t="shared" si="71"/>
        <v>69007294</v>
      </c>
      <c r="R328">
        <f t="shared" si="72"/>
        <v>50345382000000</v>
      </c>
      <c r="S328" s="1">
        <f t="shared" si="73"/>
        <v>1.9890000000000001E+33</v>
      </c>
      <c r="T328" s="1">
        <f t="shared" si="74"/>
        <v>1.9488222000000001E+33</v>
      </c>
      <c r="U328" s="8">
        <f t="shared" si="66"/>
        <v>5.0757696111608313E-17</v>
      </c>
      <c r="V328" s="11">
        <f t="shared" si="67"/>
        <v>2.4218960920938186E+48</v>
      </c>
      <c r="W328" s="1">
        <f t="shared" si="68"/>
        <v>8.9023861437582335E+47</v>
      </c>
      <c r="X328">
        <f t="shared" si="75"/>
        <v>48.384155506437786</v>
      </c>
      <c r="Y328">
        <f t="shared" si="76"/>
        <v>47.949506428012818</v>
      </c>
      <c r="AA328" s="10">
        <f t="shared" si="77"/>
        <v>3922.5997832511634</v>
      </c>
    </row>
    <row r="329" spans="1:27" x14ac:dyDescent="0.25">
      <c r="A329" s="2">
        <v>1</v>
      </c>
      <c r="B329" s="2">
        <v>9.5970689999999994</v>
      </c>
      <c r="C329" s="6">
        <v>3.7554937284151193</v>
      </c>
      <c r="D329" s="2">
        <v>-3.1E-2</v>
      </c>
      <c r="E329" s="2">
        <v>4445</v>
      </c>
      <c r="F329" s="2">
        <v>9.9200000000000004E-4</v>
      </c>
      <c r="G329" s="2">
        <v>-0.51429999999999998</v>
      </c>
      <c r="H329" s="2">
        <v>7.1760000000000002</v>
      </c>
      <c r="I329" s="2">
        <v>21231</v>
      </c>
      <c r="J329" s="2">
        <v>0.9798</v>
      </c>
      <c r="K329" s="2">
        <v>723.4</v>
      </c>
      <c r="L329" s="2">
        <v>9.3969999999999998E-2</v>
      </c>
      <c r="M329" s="2">
        <v>0.2555</v>
      </c>
      <c r="N329">
        <f t="shared" si="69"/>
        <v>9.9199999999999999E-7</v>
      </c>
      <c r="O329" s="7">
        <f t="shared" si="65"/>
        <v>3954294402.6309023</v>
      </c>
      <c r="P329" s="7">
        <f t="shared" si="70"/>
        <v>1.2478804104046496E+17</v>
      </c>
      <c r="Q329">
        <f t="shared" si="71"/>
        <v>69076928</v>
      </c>
      <c r="R329">
        <f t="shared" si="72"/>
        <v>50373235600000</v>
      </c>
      <c r="S329" s="1">
        <f t="shared" si="73"/>
        <v>1.9890000000000001E+33</v>
      </c>
      <c r="T329" s="1">
        <f t="shared" si="74"/>
        <v>1.9488222000000001E+33</v>
      </c>
      <c r="U329" s="8">
        <f t="shared" si="66"/>
        <v>5.0350860986287466E-17</v>
      </c>
      <c r="V329" s="11">
        <f t="shared" si="67"/>
        <v>2.4248881891795029E+48</v>
      </c>
      <c r="W329" s="1">
        <f t="shared" si="68"/>
        <v>8.9184635278746725E+47</v>
      </c>
      <c r="X329">
        <f t="shared" si="75"/>
        <v>48.38469171821999</v>
      </c>
      <c r="Y329">
        <f t="shared" si="76"/>
        <v>47.950290040604607</v>
      </c>
      <c r="AA329" s="10">
        <f t="shared" si="77"/>
        <v>3954.2944026309024</v>
      </c>
    </row>
    <row r="330" spans="1:27" x14ac:dyDescent="0.25">
      <c r="A330" s="2">
        <v>1</v>
      </c>
      <c r="B330" s="2">
        <v>9.6005350000000007</v>
      </c>
      <c r="C330" s="6">
        <v>3.7555699806287999</v>
      </c>
      <c r="D330" s="2">
        <v>-0.03</v>
      </c>
      <c r="E330" s="2">
        <v>4444</v>
      </c>
      <c r="F330" s="2">
        <v>9.9299999999999996E-4</v>
      </c>
      <c r="G330" s="2">
        <v>-0.51429999999999998</v>
      </c>
      <c r="H330" s="2">
        <v>7.1769999999999996</v>
      </c>
      <c r="I330" s="2">
        <v>21254</v>
      </c>
      <c r="J330" s="2">
        <v>0.98080000000000001</v>
      </c>
      <c r="K330" s="2">
        <v>729.6</v>
      </c>
      <c r="L330" s="2">
        <v>9.1989999999999988E-2</v>
      </c>
      <c r="M330" s="2">
        <v>0.25600000000000001</v>
      </c>
      <c r="N330">
        <f t="shared" si="69"/>
        <v>9.9300000000000006E-7</v>
      </c>
      <c r="O330" s="7">
        <f t="shared" si="65"/>
        <v>3985978942.139514</v>
      </c>
      <c r="P330" s="7">
        <f t="shared" si="70"/>
        <v>1.2578792906446192E+17</v>
      </c>
      <c r="Q330">
        <f t="shared" si="71"/>
        <v>69146562</v>
      </c>
      <c r="R330">
        <f t="shared" si="72"/>
        <v>50804966400000</v>
      </c>
      <c r="S330" s="1">
        <f t="shared" si="73"/>
        <v>1.9890000000000001E+33</v>
      </c>
      <c r="T330" s="1">
        <f t="shared" si="74"/>
        <v>1.9508112000000002E+33</v>
      </c>
      <c r="U330" s="8">
        <f t="shared" si="66"/>
        <v>4.9950622082025638E-17</v>
      </c>
      <c r="V330" s="11">
        <f t="shared" si="67"/>
        <v>2.434534490992402E+48</v>
      </c>
      <c r="W330" s="1">
        <f t="shared" si="68"/>
        <v>8.7481573369683987E+47</v>
      </c>
      <c r="X330">
        <f t="shared" si="75"/>
        <v>48.386415931743514</v>
      </c>
      <c r="Y330">
        <f t="shared" si="76"/>
        <v>47.941916585289547</v>
      </c>
      <c r="AA330" s="10">
        <f t="shared" si="77"/>
        <v>3985.9789421395139</v>
      </c>
    </row>
    <row r="331" spans="1:27" x14ac:dyDescent="0.25">
      <c r="A331" s="2">
        <v>1</v>
      </c>
      <c r="B331" s="2">
        <v>9.6039729999999999</v>
      </c>
      <c r="C331" s="6">
        <v>3.75564621945668</v>
      </c>
      <c r="D331" s="2">
        <v>-2.9000000000000001E-2</v>
      </c>
      <c r="E331" s="2">
        <v>4443</v>
      </c>
      <c r="F331" s="2">
        <v>9.9400000000000009E-4</v>
      </c>
      <c r="G331" s="2">
        <v>-0.51429999999999998</v>
      </c>
      <c r="H331" s="2">
        <v>7.1769999999999996</v>
      </c>
      <c r="I331" s="2">
        <v>21277</v>
      </c>
      <c r="J331" s="2">
        <v>0.98080000000000001</v>
      </c>
      <c r="K331" s="2">
        <v>730</v>
      </c>
      <c r="L331" s="2">
        <v>9.1969999999999996E-2</v>
      </c>
      <c r="M331" s="2">
        <v>0.25569999999999998</v>
      </c>
      <c r="N331">
        <f t="shared" si="69"/>
        <v>9.9400000000000014E-7</v>
      </c>
      <c r="O331" s="7">
        <f t="shared" si="65"/>
        <v>4017658323.7204986</v>
      </c>
      <c r="P331" s="7">
        <f t="shared" si="70"/>
        <v>1.26787654316642E+17</v>
      </c>
      <c r="Q331">
        <f t="shared" si="71"/>
        <v>69216196</v>
      </c>
      <c r="R331">
        <f t="shared" si="72"/>
        <v>50832820000000</v>
      </c>
      <c r="S331" s="1">
        <f t="shared" si="73"/>
        <v>1.9890000000000001E+33</v>
      </c>
      <c r="T331" s="1">
        <f t="shared" si="74"/>
        <v>1.9508112000000002E+33</v>
      </c>
      <c r="U331" s="8">
        <f t="shared" si="66"/>
        <v>4.9556759615473563E-17</v>
      </c>
      <c r="V331" s="11">
        <f t="shared" si="67"/>
        <v>2.4365816335394009E+48</v>
      </c>
      <c r="W331" s="1">
        <f t="shared" si="68"/>
        <v>8.7638800483620918E+47</v>
      </c>
      <c r="X331">
        <f t="shared" si="75"/>
        <v>48.386780966261867</v>
      </c>
      <c r="Y331">
        <f t="shared" si="76"/>
        <v>47.942696424720374</v>
      </c>
      <c r="AA331" s="10">
        <f t="shared" si="77"/>
        <v>4017.6583237204986</v>
      </c>
    </row>
    <row r="332" spans="1:27" x14ac:dyDescent="0.25">
      <c r="A332" s="2">
        <v>1</v>
      </c>
      <c r="B332" s="2">
        <v>9.6073850000000007</v>
      </c>
      <c r="C332" s="6">
        <v>3.7557224449034581</v>
      </c>
      <c r="D332" s="2">
        <v>-2.8000000000000001E-2</v>
      </c>
      <c r="E332" s="2">
        <v>4442</v>
      </c>
      <c r="F332" s="2">
        <v>9.9500000000000001E-4</v>
      </c>
      <c r="G332" s="2">
        <v>-0.51429999999999998</v>
      </c>
      <c r="H332" s="2">
        <v>7.1779999999999999</v>
      </c>
      <c r="I332" s="2">
        <v>21300</v>
      </c>
      <c r="J332" s="2">
        <v>0.98080000000000001</v>
      </c>
      <c r="K332" s="2">
        <v>730.4</v>
      </c>
      <c r="L332" s="2">
        <v>9.1939999999999994E-2</v>
      </c>
      <c r="M332" s="2">
        <v>0.2555</v>
      </c>
      <c r="N332">
        <f t="shared" si="69"/>
        <v>9.95E-7</v>
      </c>
      <c r="O332" s="7">
        <f t="shared" si="65"/>
        <v>4049347053.2786188</v>
      </c>
      <c r="P332" s="7">
        <f t="shared" si="70"/>
        <v>1.2778767456854534E+17</v>
      </c>
      <c r="Q332">
        <f t="shared" si="71"/>
        <v>69285830</v>
      </c>
      <c r="R332">
        <f t="shared" si="72"/>
        <v>50860673600000</v>
      </c>
      <c r="S332" s="1">
        <f t="shared" si="73"/>
        <v>1.9890000000000001E+33</v>
      </c>
      <c r="T332" s="1">
        <f t="shared" si="74"/>
        <v>1.9508112000000002E+33</v>
      </c>
      <c r="U332" s="8">
        <f t="shared" si="66"/>
        <v>4.9168946288394068E-17</v>
      </c>
      <c r="V332" s="11">
        <f t="shared" si="67"/>
        <v>2.4395770290270117E+48</v>
      </c>
      <c r="W332" s="1">
        <f t="shared" si="68"/>
        <v>8.7786580058216613E+47</v>
      </c>
      <c r="X332">
        <f t="shared" si="75"/>
        <v>48.387314535403085</v>
      </c>
      <c r="Y332">
        <f t="shared" si="76"/>
        <v>47.943428130346646</v>
      </c>
      <c r="AA332" s="10">
        <f t="shared" si="77"/>
        <v>4049.3470532786187</v>
      </c>
    </row>
    <row r="333" spans="1:27" x14ac:dyDescent="0.25">
      <c r="A333" s="2">
        <v>1</v>
      </c>
      <c r="B333" s="2">
        <v>9.6107709999999997</v>
      </c>
      <c r="C333" s="6">
        <v>3.7557986569738304</v>
      </c>
      <c r="D333" s="2">
        <v>-2.7E-2</v>
      </c>
      <c r="E333" s="2">
        <v>4441</v>
      </c>
      <c r="F333" s="2">
        <v>9.9599999999999992E-4</v>
      </c>
      <c r="G333" s="2">
        <v>-0.51429999999999998</v>
      </c>
      <c r="H333" s="2">
        <v>7.1779999999999999</v>
      </c>
      <c r="I333" s="2">
        <v>21323</v>
      </c>
      <c r="J333" s="2">
        <v>0.98080000000000001</v>
      </c>
      <c r="K333" s="2">
        <v>730.8</v>
      </c>
      <c r="L333" s="2">
        <v>9.1920000000000002E-2</v>
      </c>
      <c r="M333" s="2">
        <v>0.25519999999999998</v>
      </c>
      <c r="N333">
        <f t="shared" si="69"/>
        <v>9.9599999999999987E-7</v>
      </c>
      <c r="O333" s="7">
        <f t="shared" si="65"/>
        <v>4081041395.463706</v>
      </c>
      <c r="P333" s="7">
        <f t="shared" si="70"/>
        <v>1.2878787194148546E+17</v>
      </c>
      <c r="Q333">
        <f t="shared" si="71"/>
        <v>69355463.999999985</v>
      </c>
      <c r="R333">
        <f t="shared" si="72"/>
        <v>50888527200000</v>
      </c>
      <c r="S333" s="1">
        <f t="shared" si="73"/>
        <v>1.9890000000000001E+33</v>
      </c>
      <c r="T333" s="1">
        <f t="shared" si="74"/>
        <v>1.9508112000000002E+33</v>
      </c>
      <c r="U333" s="8">
        <f t="shared" si="66"/>
        <v>4.8787088508103779E-17</v>
      </c>
      <c r="V333" s="11">
        <f t="shared" si="67"/>
        <v>2.4416129309674432E+48</v>
      </c>
      <c r="W333" s="1">
        <f t="shared" si="68"/>
        <v>8.7943989269015435E+47</v>
      </c>
      <c r="X333">
        <f t="shared" si="75"/>
        <v>48.387676816337425</v>
      </c>
      <c r="Y333">
        <f t="shared" si="76"/>
        <v>47.94420616196853</v>
      </c>
      <c r="AA333" s="10">
        <f t="shared" si="77"/>
        <v>4081.0413954637061</v>
      </c>
    </row>
    <row r="334" spans="1:27" x14ac:dyDescent="0.25">
      <c r="A334" s="2">
        <v>1</v>
      </c>
      <c r="B334" s="2">
        <v>9.6141299999999994</v>
      </c>
      <c r="C334" s="6">
        <v>3.7558748556724915</v>
      </c>
      <c r="D334" s="2">
        <v>-2.5000000000000001E-2</v>
      </c>
      <c r="E334" s="2">
        <v>4440</v>
      </c>
      <c r="F334" s="2">
        <v>9.9700000000000006E-4</v>
      </c>
      <c r="G334" s="2">
        <v>-0.51429999999999998</v>
      </c>
      <c r="H334" s="2">
        <v>7.1790000000000003</v>
      </c>
      <c r="I334" s="2">
        <v>21347</v>
      </c>
      <c r="J334" s="2">
        <v>0.98080000000000001</v>
      </c>
      <c r="K334" s="2">
        <v>731.2</v>
      </c>
      <c r="L334" s="2">
        <v>9.1900000000000009E-2</v>
      </c>
      <c r="M334" s="2">
        <v>0.255</v>
      </c>
      <c r="N334">
        <f t="shared" si="69"/>
        <v>9.9700000000000015E-7</v>
      </c>
      <c r="O334" s="7">
        <f t="shared" si="65"/>
        <v>4112728114.6473908</v>
      </c>
      <c r="P334" s="7">
        <f t="shared" si="70"/>
        <v>1.297878287507965E+17</v>
      </c>
      <c r="Q334">
        <f t="shared" si="71"/>
        <v>69425098</v>
      </c>
      <c r="R334">
        <f t="shared" si="72"/>
        <v>50916380800000.008</v>
      </c>
      <c r="S334" s="1">
        <f t="shared" si="73"/>
        <v>1.9890000000000001E+33</v>
      </c>
      <c r="T334" s="1">
        <f t="shared" si="74"/>
        <v>1.9508112000000002E+33</v>
      </c>
      <c r="U334" s="8">
        <f t="shared" si="66"/>
        <v>4.8411205947853774E-17</v>
      </c>
      <c r="V334" s="11">
        <f t="shared" si="67"/>
        <v>2.4446008954062699E+48</v>
      </c>
      <c r="W334" s="1">
        <f t="shared" si="68"/>
        <v>8.810149893640636E+47</v>
      </c>
      <c r="X334">
        <f t="shared" si="75"/>
        <v>48.388207966498172</v>
      </c>
      <c r="Y334">
        <f t="shared" si="76"/>
        <v>47.944983297450328</v>
      </c>
      <c r="AA334" s="10">
        <f t="shared" si="77"/>
        <v>4112.7281146473906</v>
      </c>
    </row>
    <row r="335" spans="1:27" x14ac:dyDescent="0.25">
      <c r="A335" s="2">
        <v>1</v>
      </c>
      <c r="B335" s="2">
        <v>9.617464</v>
      </c>
      <c r="C335" s="6">
        <v>3.7559510410041321</v>
      </c>
      <c r="D335" s="2">
        <v>-2.4E-2</v>
      </c>
      <c r="E335" s="2">
        <v>4440</v>
      </c>
      <c r="F335" s="2">
        <v>9.9799999999999997E-4</v>
      </c>
      <c r="G335" s="2">
        <v>-0.51429999999999998</v>
      </c>
      <c r="H335" s="2">
        <v>7.1790000000000003</v>
      </c>
      <c r="I335" s="2">
        <v>21371</v>
      </c>
      <c r="J335" s="2">
        <v>0.98080000000000001</v>
      </c>
      <c r="K335" s="2">
        <v>731.7</v>
      </c>
      <c r="L335" s="2">
        <v>9.1879999999999989E-2</v>
      </c>
      <c r="M335" s="2">
        <v>0.25480000000000003</v>
      </c>
      <c r="N335">
        <f t="shared" si="69"/>
        <v>9.9800000000000002E-7</v>
      </c>
      <c r="O335" s="7">
        <f t="shared" si="65"/>
        <v>4144422282.2815175</v>
      </c>
      <c r="P335" s="7">
        <f t="shared" si="70"/>
        <v>1.3078802061532722E+17</v>
      </c>
      <c r="Q335">
        <f t="shared" si="71"/>
        <v>69494732</v>
      </c>
      <c r="R335">
        <f t="shared" si="72"/>
        <v>50951197800000</v>
      </c>
      <c r="S335" s="1">
        <f t="shared" si="73"/>
        <v>1.9890000000000001E+33</v>
      </c>
      <c r="T335" s="1">
        <f t="shared" si="74"/>
        <v>1.9508112000000002E+33</v>
      </c>
      <c r="U335" s="8">
        <f t="shared" si="66"/>
        <v>4.8040984775353746E-17</v>
      </c>
      <c r="V335" s="11">
        <f t="shared" si="67"/>
        <v>2.4475860861012528E+48</v>
      </c>
      <c r="W335" s="1">
        <f t="shared" si="68"/>
        <v>8.8259108944655834E+47</v>
      </c>
      <c r="X335">
        <f t="shared" si="75"/>
        <v>48.388737975678957</v>
      </c>
      <c r="Y335">
        <f t="shared" si="76"/>
        <v>47.945759538538631</v>
      </c>
      <c r="AA335" s="10">
        <f t="shared" si="77"/>
        <v>4144.4222822815173</v>
      </c>
    </row>
    <row r="336" spans="1:27" x14ac:dyDescent="0.25">
      <c r="A336" s="2">
        <v>1</v>
      </c>
      <c r="B336" s="2">
        <v>9.6207709999999995</v>
      </c>
      <c r="C336" s="6">
        <v>3.7560272129734411</v>
      </c>
      <c r="D336" s="2">
        <v>-2.3E-2</v>
      </c>
      <c r="E336" s="2">
        <v>4439</v>
      </c>
      <c r="F336" s="2">
        <v>9.990000000000001E-4</v>
      </c>
      <c r="G336" s="2">
        <v>-0.51429999999999998</v>
      </c>
      <c r="H336" s="2">
        <v>7.18</v>
      </c>
      <c r="I336" s="2">
        <v>21395</v>
      </c>
      <c r="J336" s="2">
        <v>0.98080000000000001</v>
      </c>
      <c r="K336" s="2">
        <v>732.1</v>
      </c>
      <c r="L336" s="2">
        <v>9.1859999999999997E-2</v>
      </c>
      <c r="M336" s="2">
        <v>0.2545</v>
      </c>
      <c r="N336">
        <f t="shared" si="69"/>
        <v>9.9900000000000009E-7</v>
      </c>
      <c r="O336" s="7">
        <f t="shared" si="65"/>
        <v>4176101061.1856799</v>
      </c>
      <c r="P336" s="7">
        <f t="shared" si="70"/>
        <v>1.3178772684847322E+17</v>
      </c>
      <c r="Q336">
        <f t="shared" si="71"/>
        <v>69564366.000000015</v>
      </c>
      <c r="R336">
        <f t="shared" si="72"/>
        <v>50979051400000</v>
      </c>
      <c r="S336" s="1">
        <f t="shared" si="73"/>
        <v>1.9890000000000001E+33</v>
      </c>
      <c r="T336" s="1">
        <f t="shared" si="74"/>
        <v>1.9508112000000002E+33</v>
      </c>
      <c r="U336" s="8">
        <f t="shared" si="66"/>
        <v>4.7676558792184512E-17</v>
      </c>
      <c r="V336" s="11">
        <f t="shared" si="67"/>
        <v>2.4496059743967758E+48</v>
      </c>
      <c r="W336" s="1">
        <f t="shared" si="68"/>
        <v>8.8416819178030578E+47</v>
      </c>
      <c r="X336">
        <f t="shared" si="75"/>
        <v>48.389096232565642</v>
      </c>
      <c r="Y336">
        <f t="shared" si="76"/>
        <v>47.946534886974774</v>
      </c>
      <c r="AA336" s="10">
        <f t="shared" si="77"/>
        <v>4176.10106118568</v>
      </c>
    </row>
    <row r="337" spans="1:27" x14ac:dyDescent="0.25">
      <c r="A337" s="2">
        <v>1</v>
      </c>
      <c r="B337" s="2">
        <v>9.6240539999999992</v>
      </c>
      <c r="C337" s="6">
        <v>3.7561033715851058</v>
      </c>
      <c r="D337" s="2">
        <v>-2.1999999999999999E-2</v>
      </c>
      <c r="E337" s="2">
        <v>4438</v>
      </c>
      <c r="F337" s="2">
        <v>1</v>
      </c>
      <c r="G337" s="2">
        <v>-0.51429999999999998</v>
      </c>
      <c r="H337" s="2">
        <v>7.18</v>
      </c>
      <c r="I337" s="2">
        <v>21419</v>
      </c>
      <c r="J337" s="2">
        <v>0.98080000000000001</v>
      </c>
      <c r="K337" s="2">
        <v>732.5</v>
      </c>
      <c r="L337" s="2">
        <v>9.1840000000000005E-2</v>
      </c>
      <c r="M337" s="2">
        <v>0.25430000000000003</v>
      </c>
      <c r="N337">
        <f t="shared" si="69"/>
        <v>1E-3</v>
      </c>
      <c r="O337" s="7">
        <f t="shared" si="65"/>
        <v>4207789446.1545429</v>
      </c>
      <c r="P337" s="7">
        <f t="shared" si="70"/>
        <v>1.3278773622596661E+17</v>
      </c>
      <c r="Q337">
        <f t="shared" si="71"/>
        <v>69634000000</v>
      </c>
      <c r="R337">
        <f t="shared" si="72"/>
        <v>51006905000000</v>
      </c>
      <c r="S337" s="1">
        <f t="shared" si="73"/>
        <v>1.9890000000000001E+33</v>
      </c>
      <c r="T337" s="1">
        <f t="shared" si="74"/>
        <v>1.9508112000000002E+33</v>
      </c>
      <c r="U337" s="8">
        <f t="shared" si="66"/>
        <v>4.7317512036558925E-17</v>
      </c>
      <c r="V337" s="11">
        <f t="shared" si="67"/>
        <v>2.4525836549584813E+54</v>
      </c>
      <c r="W337" s="1">
        <f t="shared" si="68"/>
        <v>8.8574629520797058E+53</v>
      </c>
      <c r="X337">
        <f t="shared" si="75"/>
        <v>54.38962382961661</v>
      </c>
      <c r="Y337">
        <f t="shared" si="76"/>
        <v>53.947309344494798</v>
      </c>
      <c r="AA337" s="10">
        <f t="shared" si="77"/>
        <v>4207.7894461545429</v>
      </c>
    </row>
    <row r="338" spans="1:27" x14ac:dyDescent="0.25">
      <c r="A338" s="2">
        <v>1</v>
      </c>
      <c r="B338" s="2">
        <v>9.6273129999999991</v>
      </c>
      <c r="C338" s="6">
        <v>3.7562556487542333</v>
      </c>
      <c r="D338" s="2">
        <v>-2.1000000000000001E-2</v>
      </c>
      <c r="E338" s="2">
        <v>4437</v>
      </c>
      <c r="F338" s="2">
        <v>1.0009999999999999</v>
      </c>
      <c r="G338" s="2">
        <v>-0.51429999999999998</v>
      </c>
      <c r="H338" s="2">
        <v>7.181</v>
      </c>
      <c r="I338" s="2">
        <v>21443</v>
      </c>
      <c r="J338" s="2">
        <v>0.98080000000000001</v>
      </c>
      <c r="K338" s="2">
        <v>733</v>
      </c>
      <c r="L338" s="2">
        <v>9.1810000000000003E-2</v>
      </c>
      <c r="M338" s="2">
        <v>0.254</v>
      </c>
      <c r="N338">
        <f t="shared" si="69"/>
        <v>1.0009999999999999E-3</v>
      </c>
      <c r="O338" s="7">
        <f t="shared" si="65"/>
        <v>4239483994.5587478</v>
      </c>
      <c r="P338" s="7">
        <f t="shared" si="70"/>
        <v>1.3378794010668714E+17</v>
      </c>
      <c r="Q338">
        <f t="shared" si="71"/>
        <v>69703633999.999985</v>
      </c>
      <c r="R338">
        <f t="shared" si="72"/>
        <v>51041722000000</v>
      </c>
      <c r="S338" s="1">
        <f t="shared" si="73"/>
        <v>1.9890000000000001E+33</v>
      </c>
      <c r="T338" s="1">
        <f t="shared" si="74"/>
        <v>1.9508112000000002E+33</v>
      </c>
      <c r="U338" s="8">
        <f t="shared" si="66"/>
        <v>4.6963764463143364E-17</v>
      </c>
      <c r="V338" s="11">
        <f t="shared" si="67"/>
        <v>2.4545921502651247E+54</v>
      </c>
      <c r="W338" s="1">
        <f t="shared" si="68"/>
        <v>8.8722876108598861E+53</v>
      </c>
      <c r="X338">
        <f t="shared" si="75"/>
        <v>54.389979341019476</v>
      </c>
      <c r="Y338">
        <f t="shared" si="76"/>
        <v>53.948035611791333</v>
      </c>
      <c r="AA338" s="10">
        <f t="shared" si="77"/>
        <v>4239.4839945587473</v>
      </c>
    </row>
    <row r="339" spans="1:27" x14ac:dyDescent="0.25">
      <c r="A339" s="2">
        <v>1</v>
      </c>
      <c r="B339" s="2">
        <v>9.630547</v>
      </c>
      <c r="C339" s="6">
        <v>3.7563317673210577</v>
      </c>
      <c r="D339" s="2">
        <v>-0.02</v>
      </c>
      <c r="E339" s="2">
        <v>4436</v>
      </c>
      <c r="F339" s="2">
        <v>1.002</v>
      </c>
      <c r="G339" s="2">
        <v>-0.51429999999999998</v>
      </c>
      <c r="H339" s="2">
        <v>7.181</v>
      </c>
      <c r="I339" s="2">
        <v>21467</v>
      </c>
      <c r="J339" s="2">
        <v>0.98080000000000001</v>
      </c>
      <c r="K339" s="2">
        <v>733.4</v>
      </c>
      <c r="L339" s="2">
        <v>9.179000000000001E-2</v>
      </c>
      <c r="M339" s="2">
        <v>0.25380000000000003</v>
      </c>
      <c r="N339">
        <f t="shared" si="69"/>
        <v>1.0020000000000001E-3</v>
      </c>
      <c r="O339" s="7">
        <f t="shared" si="65"/>
        <v>4271171401.9698086</v>
      </c>
      <c r="P339" s="7">
        <f t="shared" si="70"/>
        <v>1.3478791863480243E+17</v>
      </c>
      <c r="Q339">
        <f t="shared" si="71"/>
        <v>69773268000</v>
      </c>
      <c r="R339">
        <f t="shared" si="72"/>
        <v>51069575600000</v>
      </c>
      <c r="S339" s="1">
        <f t="shared" si="73"/>
        <v>1.9890000000000001E+33</v>
      </c>
      <c r="T339" s="1">
        <f t="shared" si="74"/>
        <v>1.9508112000000002E+33</v>
      </c>
      <c r="U339" s="8">
        <f t="shared" si="66"/>
        <v>4.6615344838163108E-17</v>
      </c>
      <c r="V339" s="11">
        <f t="shared" si="67"/>
        <v>2.457562266684636E+54</v>
      </c>
      <c r="W339" s="1">
        <f t="shared" si="68"/>
        <v>8.8880867005115332E+53</v>
      </c>
      <c r="X339">
        <f t="shared" si="75"/>
        <v>54.390504530262042</v>
      </c>
      <c r="Y339">
        <f t="shared" si="76"/>
        <v>53.948808282360588</v>
      </c>
      <c r="AA339" s="10">
        <f t="shared" si="77"/>
        <v>4271.1714019698084</v>
      </c>
    </row>
    <row r="340" spans="1:27" x14ac:dyDescent="0.25">
      <c r="A340" s="2">
        <v>1</v>
      </c>
      <c r="B340" s="2">
        <v>9.6337569999999992</v>
      </c>
      <c r="C340" s="6">
        <v>3.7564078725489582</v>
      </c>
      <c r="D340" s="2">
        <v>-1.7999999999999999E-2</v>
      </c>
      <c r="E340" s="2">
        <v>4435</v>
      </c>
      <c r="F340" s="2">
        <v>1.0029999999999999</v>
      </c>
      <c r="G340" s="2">
        <v>-0.51429999999999998</v>
      </c>
      <c r="H340" s="2">
        <v>7.1820000000000004</v>
      </c>
      <c r="I340" s="2">
        <v>21491</v>
      </c>
      <c r="J340" s="2">
        <v>0.98080000000000001</v>
      </c>
      <c r="K340" s="2">
        <v>733.9</v>
      </c>
      <c r="L340" s="2">
        <v>9.176999999999999E-2</v>
      </c>
      <c r="M340" s="2">
        <v>0.2535</v>
      </c>
      <c r="N340">
        <f t="shared" si="69"/>
        <v>1.003E-3</v>
      </c>
      <c r="O340" s="7">
        <f t="shared" si="65"/>
        <v>4302857861.0223398</v>
      </c>
      <c r="P340" s="7">
        <f t="shared" si="70"/>
        <v>1.3578786723499859E+17</v>
      </c>
      <c r="Q340">
        <f t="shared" si="71"/>
        <v>69842902000</v>
      </c>
      <c r="R340">
        <f t="shared" si="72"/>
        <v>51104392600000</v>
      </c>
      <c r="S340" s="1">
        <f t="shared" si="73"/>
        <v>1.9890000000000001E+33</v>
      </c>
      <c r="T340" s="1">
        <f t="shared" si="74"/>
        <v>1.9508112000000002E+33</v>
      </c>
      <c r="U340" s="8">
        <f t="shared" si="66"/>
        <v>4.627206712294638E-17</v>
      </c>
      <c r="V340" s="11">
        <f t="shared" si="67"/>
        <v>2.4595593072779223E+54</v>
      </c>
      <c r="W340" s="1">
        <f t="shared" si="68"/>
        <v>8.9038957644534487E+53</v>
      </c>
      <c r="X340">
        <f t="shared" si="75"/>
        <v>54.390857299151094</v>
      </c>
      <c r="Y340">
        <f t="shared" si="76"/>
        <v>53.949580067186076</v>
      </c>
      <c r="AA340" s="10">
        <f t="shared" si="77"/>
        <v>4302.8578610223394</v>
      </c>
    </row>
    <row r="341" spans="1:27" x14ac:dyDescent="0.25">
      <c r="A341" s="2">
        <v>1</v>
      </c>
      <c r="B341" s="2">
        <v>9.6369430000000005</v>
      </c>
      <c r="C341" s="6">
        <v>3.7564839644426091</v>
      </c>
      <c r="D341" s="2">
        <v>-1.7000000000000001E-2</v>
      </c>
      <c r="E341" s="2">
        <v>4434</v>
      </c>
      <c r="F341" s="2">
        <v>1.004</v>
      </c>
      <c r="G341" s="2">
        <v>-0.51429999999999998</v>
      </c>
      <c r="H341" s="2">
        <v>7.1829999999999998</v>
      </c>
      <c r="I341" s="2">
        <v>21515</v>
      </c>
      <c r="J341" s="2">
        <v>0.98080000000000001</v>
      </c>
      <c r="K341" s="2">
        <v>734.3</v>
      </c>
      <c r="L341" s="2">
        <v>9.1749999999999998E-2</v>
      </c>
      <c r="M341" s="2">
        <v>0.25330000000000003</v>
      </c>
      <c r="N341">
        <f t="shared" si="69"/>
        <v>1.0039999999999999E-3</v>
      </c>
      <c r="O341" s="7">
        <f t="shared" si="65"/>
        <v>4334539849.6705208</v>
      </c>
      <c r="P341" s="7">
        <f t="shared" si="70"/>
        <v>1.3678767475996243E+17</v>
      </c>
      <c r="Q341">
        <f t="shared" si="71"/>
        <v>69912536000</v>
      </c>
      <c r="R341">
        <f t="shared" si="72"/>
        <v>51132246200000</v>
      </c>
      <c r="S341" s="1">
        <f t="shared" si="73"/>
        <v>1.9890000000000001E+33</v>
      </c>
      <c r="T341" s="1">
        <f t="shared" si="74"/>
        <v>1.9508112000000002E+33</v>
      </c>
      <c r="U341" s="8">
        <f t="shared" si="66"/>
        <v>4.5933855650411759E-17</v>
      </c>
      <c r="V341" s="11">
        <f t="shared" si="67"/>
        <v>2.4625218055463156E+54</v>
      </c>
      <c r="W341" s="1">
        <f t="shared" si="68"/>
        <v>8.9197147911122941E+53</v>
      </c>
      <c r="X341">
        <f t="shared" si="75"/>
        <v>54.391380084849452</v>
      </c>
      <c r="Y341">
        <f t="shared" si="76"/>
        <v>53.950350967983027</v>
      </c>
      <c r="AA341" s="10">
        <f t="shared" si="77"/>
        <v>4334.5398496705211</v>
      </c>
    </row>
    <row r="342" spans="1:27" x14ac:dyDescent="0.25">
      <c r="A342" s="2">
        <v>1</v>
      </c>
      <c r="B342" s="2">
        <v>9.6401070000000004</v>
      </c>
      <c r="C342" s="6">
        <v>3.756560043006683</v>
      </c>
      <c r="D342" s="2">
        <v>-1.6E-2</v>
      </c>
      <c r="E342" s="2">
        <v>4434</v>
      </c>
      <c r="F342" s="2">
        <v>1.0049999999999999</v>
      </c>
      <c r="G342" s="2">
        <v>-0.51429999999999998</v>
      </c>
      <c r="H342" s="2">
        <v>7.1829999999999998</v>
      </c>
      <c r="I342" s="2">
        <v>21540</v>
      </c>
      <c r="J342" s="2">
        <v>0.98080000000000001</v>
      </c>
      <c r="K342" s="2">
        <v>734.7</v>
      </c>
      <c r="L342" s="2">
        <v>9.1719999999999996E-2</v>
      </c>
      <c r="M342" s="2">
        <v>0.253</v>
      </c>
      <c r="N342">
        <f t="shared" si="69"/>
        <v>1.0049999999999998E-3</v>
      </c>
      <c r="O342" s="7">
        <f t="shared" si="65"/>
        <v>4366233927.7857742</v>
      </c>
      <c r="P342" s="7">
        <f t="shared" si="70"/>
        <v>1.3778786379949235E+17</v>
      </c>
      <c r="Q342">
        <f t="shared" si="71"/>
        <v>69982170000</v>
      </c>
      <c r="R342">
        <f t="shared" si="72"/>
        <v>51160099800000.008</v>
      </c>
      <c r="S342" s="1">
        <f t="shared" si="73"/>
        <v>1.9890000000000001E+33</v>
      </c>
      <c r="T342" s="1">
        <f t="shared" si="74"/>
        <v>1.9508112000000002E+33</v>
      </c>
      <c r="U342" s="8">
        <f t="shared" si="66"/>
        <v>4.5600426147275354E-17</v>
      </c>
      <c r="V342" s="11">
        <f t="shared" si="67"/>
        <v>2.4645073297017634E+54</v>
      </c>
      <c r="W342" s="1">
        <f t="shared" si="68"/>
        <v>8.9345696553456807E+53</v>
      </c>
      <c r="X342">
        <f t="shared" si="75"/>
        <v>54.391730114129736</v>
      </c>
      <c r="Y342">
        <f t="shared" si="76"/>
        <v>53.951073639011817</v>
      </c>
      <c r="AA342" s="10">
        <f t="shared" si="77"/>
        <v>4366.2339277857745</v>
      </c>
    </row>
    <row r="343" spans="1:27" x14ac:dyDescent="0.25">
      <c r="A343" s="2">
        <v>1</v>
      </c>
      <c r="B343" s="2">
        <v>9.6432470000000006</v>
      </c>
      <c r="C343" s="6">
        <v>3.7566361082458481</v>
      </c>
      <c r="D343" s="2">
        <v>-1.4999999999999999E-2</v>
      </c>
      <c r="E343" s="2">
        <v>4433</v>
      </c>
      <c r="F343" s="2">
        <v>1.006</v>
      </c>
      <c r="G343" s="2">
        <v>-0.51429999999999998</v>
      </c>
      <c r="H343" s="2">
        <v>7.1840000000000002</v>
      </c>
      <c r="I343" s="2">
        <v>21564</v>
      </c>
      <c r="J343" s="2">
        <v>0.98080000000000001</v>
      </c>
      <c r="K343" s="2">
        <v>735.2</v>
      </c>
      <c r="L343" s="2">
        <v>9.1700000000000004E-2</v>
      </c>
      <c r="M343" s="2">
        <v>0.25280000000000002</v>
      </c>
      <c r="N343">
        <f t="shared" si="69"/>
        <v>1.0059999999999999E-3</v>
      </c>
      <c r="O343" s="7">
        <f t="shared" si="65"/>
        <v>4397916707.8608952</v>
      </c>
      <c r="P343" s="7">
        <f t="shared" si="70"/>
        <v>1.3878769629999099E+17</v>
      </c>
      <c r="Q343">
        <f t="shared" si="71"/>
        <v>70051804000</v>
      </c>
      <c r="R343">
        <f t="shared" si="72"/>
        <v>51194916800000</v>
      </c>
      <c r="S343" s="1">
        <f t="shared" si="73"/>
        <v>1.9890000000000001E+33</v>
      </c>
      <c r="T343" s="1">
        <f t="shared" si="74"/>
        <v>1.9508112000000002E+33</v>
      </c>
      <c r="U343" s="8">
        <f t="shared" si="66"/>
        <v>4.5271918726847506E-17</v>
      </c>
      <c r="V343" s="11">
        <f t="shared" si="67"/>
        <v>2.4674621558101188E+54</v>
      </c>
      <c r="W343" s="1">
        <f t="shared" si="68"/>
        <v>8.9504066332194574E+53</v>
      </c>
      <c r="X343">
        <f t="shared" si="75"/>
        <v>54.392250500491066</v>
      </c>
      <c r="Y343">
        <f t="shared" si="76"/>
        <v>53.95184276655074</v>
      </c>
      <c r="AA343" s="10">
        <f t="shared" si="77"/>
        <v>4397.9167078608953</v>
      </c>
    </row>
    <row r="344" spans="1:27" x14ac:dyDescent="0.25">
      <c r="A344" s="2">
        <v>1</v>
      </c>
      <c r="B344" s="2">
        <v>9.6463649999999994</v>
      </c>
      <c r="C344" s="6">
        <v>3.7567121601647715</v>
      </c>
      <c r="D344" s="2">
        <v>-1.4E-2</v>
      </c>
      <c r="E344" s="2">
        <v>4432</v>
      </c>
      <c r="F344" s="2">
        <v>1.0069999999999999</v>
      </c>
      <c r="G344" s="2">
        <v>-0.51429999999999998</v>
      </c>
      <c r="H344" s="2">
        <v>7.1840000000000002</v>
      </c>
      <c r="I344" s="2">
        <v>21589</v>
      </c>
      <c r="J344" s="2">
        <v>0.98080000000000001</v>
      </c>
      <c r="K344" s="2">
        <v>735.6</v>
      </c>
      <c r="L344" s="2">
        <v>9.1680000000000011E-2</v>
      </c>
      <c r="M344" s="2">
        <v>0.2525</v>
      </c>
      <c r="N344">
        <f t="shared" si="69"/>
        <v>1.0069999999999999E-3</v>
      </c>
      <c r="O344" s="7">
        <f t="shared" si="65"/>
        <v>4429604992.6336632</v>
      </c>
      <c r="P344" s="7">
        <f t="shared" si="70"/>
        <v>1.397877025155361E+17</v>
      </c>
      <c r="Q344">
        <f t="shared" si="71"/>
        <v>70121438000</v>
      </c>
      <c r="R344">
        <f t="shared" si="72"/>
        <v>51222770400000</v>
      </c>
      <c r="S344" s="1">
        <f t="shared" si="73"/>
        <v>1.9890000000000001E+33</v>
      </c>
      <c r="T344" s="1">
        <f t="shared" si="74"/>
        <v>1.9508112000000002E+33</v>
      </c>
      <c r="U344" s="8">
        <f t="shared" si="66"/>
        <v>4.4948054758116284E-17</v>
      </c>
      <c r="V344" s="11">
        <f t="shared" si="67"/>
        <v>2.4694361018032469E+54</v>
      </c>
      <c r="W344" s="1">
        <f t="shared" si="68"/>
        <v>8.9662535371612562E+53</v>
      </c>
      <c r="X344">
        <f t="shared" si="75"/>
        <v>54.392597793002821</v>
      </c>
      <c r="Y344">
        <f t="shared" si="76"/>
        <v>53.952611015171449</v>
      </c>
      <c r="AA344" s="10">
        <f t="shared" si="77"/>
        <v>4429.6049926336627</v>
      </c>
    </row>
    <row r="345" spans="1:27" x14ac:dyDescent="0.25">
      <c r="A345" s="2">
        <v>1</v>
      </c>
      <c r="B345" s="2">
        <v>9.6494610000000005</v>
      </c>
      <c r="C345" s="6">
        <v>3.7567881987681178</v>
      </c>
      <c r="D345" s="2">
        <v>-1.2E-2</v>
      </c>
      <c r="E345" s="2">
        <v>4431</v>
      </c>
      <c r="F345" s="2">
        <v>1.008</v>
      </c>
      <c r="G345" s="2">
        <v>-0.51429999999999998</v>
      </c>
      <c r="H345" s="2">
        <v>7.1849999999999996</v>
      </c>
      <c r="I345" s="2">
        <v>21615</v>
      </c>
      <c r="J345" s="2">
        <v>0.98080000000000001</v>
      </c>
      <c r="K345" s="2">
        <v>736.1</v>
      </c>
      <c r="L345" s="2">
        <v>9.1659999999999991E-2</v>
      </c>
      <c r="M345" s="2">
        <v>0.25230000000000002</v>
      </c>
      <c r="N345">
        <f t="shared" si="69"/>
        <v>1.008E-3</v>
      </c>
      <c r="O345" s="7">
        <f t="shared" si="65"/>
        <v>4461295599.82376</v>
      </c>
      <c r="P345" s="7">
        <f t="shared" si="70"/>
        <v>1.4078778202099829E+17</v>
      </c>
      <c r="Q345">
        <f t="shared" si="71"/>
        <v>70191072000</v>
      </c>
      <c r="R345">
        <f t="shared" si="72"/>
        <v>51257587400000</v>
      </c>
      <c r="S345" s="1">
        <f t="shared" si="73"/>
        <v>1.9890000000000001E+33</v>
      </c>
      <c r="T345" s="1">
        <f t="shared" si="74"/>
        <v>1.9508112000000002E+33</v>
      </c>
      <c r="U345" s="8">
        <f t="shared" si="66"/>
        <v>4.4628768327655437E-17</v>
      </c>
      <c r="V345" s="11">
        <f t="shared" si="67"/>
        <v>2.472383201742645E+54</v>
      </c>
      <c r="W345" s="1">
        <f t="shared" si="68"/>
        <v>8.9821103555977337E+53</v>
      </c>
      <c r="X345">
        <f t="shared" si="75"/>
        <v>54.393115784177489</v>
      </c>
      <c r="Y345">
        <f t="shared" si="76"/>
        <v>53.95337838656868</v>
      </c>
      <c r="AA345" s="10">
        <f t="shared" si="77"/>
        <v>4461.2955998237603</v>
      </c>
    </row>
    <row r="346" spans="1:27" x14ac:dyDescent="0.25">
      <c r="A346" s="2">
        <v>1</v>
      </c>
      <c r="B346" s="2">
        <v>9.6525339999999993</v>
      </c>
      <c r="C346" s="6">
        <v>3.756864224060549</v>
      </c>
      <c r="D346" s="2">
        <v>-1.0999999999999999E-2</v>
      </c>
      <c r="E346" s="2">
        <v>4430</v>
      </c>
      <c r="F346" s="2">
        <v>1.0089999999999999</v>
      </c>
      <c r="G346" s="2">
        <v>-0.51429999999999998</v>
      </c>
      <c r="H346" s="2">
        <v>7.1849999999999996</v>
      </c>
      <c r="I346" s="2">
        <v>21640</v>
      </c>
      <c r="J346" s="2">
        <v>0.98080000000000001</v>
      </c>
      <c r="K346" s="2">
        <v>736.6</v>
      </c>
      <c r="L346" s="2">
        <v>9.1629999999999989E-2</v>
      </c>
      <c r="M346" s="2">
        <v>0.252</v>
      </c>
      <c r="N346">
        <f t="shared" si="69"/>
        <v>1.0089999999999999E-3</v>
      </c>
      <c r="O346" s="7">
        <f t="shared" si="65"/>
        <v>4492974978.4796877</v>
      </c>
      <c r="P346" s="7">
        <f t="shared" si="70"/>
        <v>1.4178750718087059E+17</v>
      </c>
      <c r="Q346">
        <f t="shared" si="71"/>
        <v>70260706000</v>
      </c>
      <c r="R346">
        <f t="shared" si="72"/>
        <v>51292404400000.008</v>
      </c>
      <c r="S346" s="1">
        <f t="shared" si="73"/>
        <v>1.9890000000000001E+33</v>
      </c>
      <c r="T346" s="1">
        <f t="shared" si="74"/>
        <v>1.9508112000000002E+33</v>
      </c>
      <c r="U346" s="8">
        <f t="shared" si="66"/>
        <v>4.4314096721966267E-17</v>
      </c>
      <c r="V346" s="11">
        <f t="shared" si="67"/>
        <v>2.4743455078489738E+54</v>
      </c>
      <c r="W346" s="1">
        <f t="shared" si="68"/>
        <v>8.9969951938175179E+53</v>
      </c>
      <c r="X346">
        <f t="shared" si="75"/>
        <v>54.393460342696265</v>
      </c>
      <c r="Y346">
        <f t="shared" si="76"/>
        <v>53.954097488479732</v>
      </c>
      <c r="AA346" s="10">
        <f t="shared" si="77"/>
        <v>4492.9749784796877</v>
      </c>
    </row>
    <row r="347" spans="1:27" x14ac:dyDescent="0.25">
      <c r="A347" s="2">
        <v>1</v>
      </c>
      <c r="B347" s="2">
        <v>9.6555870000000006</v>
      </c>
      <c r="C347" s="6">
        <v>3.7569402360467241</v>
      </c>
      <c r="D347" s="2">
        <v>-0.01</v>
      </c>
      <c r="E347" s="2">
        <v>4429</v>
      </c>
      <c r="F347" s="2">
        <v>1.01</v>
      </c>
      <c r="G347" s="2">
        <v>-0.51429999999999998</v>
      </c>
      <c r="H347" s="2">
        <v>7.1859999999999999</v>
      </c>
      <c r="I347" s="2">
        <v>21665</v>
      </c>
      <c r="J347" s="2">
        <v>0.98170000000000002</v>
      </c>
      <c r="K347" s="2">
        <v>742.1</v>
      </c>
      <c r="L347" s="2">
        <v>8.9969999999999994E-2</v>
      </c>
      <c r="M347" s="2">
        <v>0.25240000000000001</v>
      </c>
      <c r="N347">
        <f t="shared" si="69"/>
        <v>1.01E-3</v>
      </c>
      <c r="O347" s="7">
        <f t="shared" si="65"/>
        <v>4524670936.8103285</v>
      </c>
      <c r="P347" s="7">
        <f t="shared" si="70"/>
        <v>1.4278775555548562E+17</v>
      </c>
      <c r="Q347">
        <f t="shared" si="71"/>
        <v>70330340000</v>
      </c>
      <c r="R347">
        <f t="shared" si="72"/>
        <v>51675391400000</v>
      </c>
      <c r="S347" s="1">
        <f t="shared" si="73"/>
        <v>1.9890000000000001E+33</v>
      </c>
      <c r="T347" s="1">
        <f t="shared" si="74"/>
        <v>1.9526013000000001E+33</v>
      </c>
      <c r="U347" s="8">
        <f t="shared" si="66"/>
        <v>4.4003670221835062E-17</v>
      </c>
      <c r="V347" s="11">
        <f t="shared" si="67"/>
        <v>2.4831878097255301E+54</v>
      </c>
      <c r="W347" s="1">
        <f t="shared" si="68"/>
        <v>8.8515216814978569E+53</v>
      </c>
      <c r="X347">
        <f t="shared" si="75"/>
        <v>54.395009567578285</v>
      </c>
      <c r="Y347">
        <f t="shared" si="76"/>
        <v>53.947017937485377</v>
      </c>
      <c r="AA347" s="10">
        <f t="shared" si="77"/>
        <v>4524.6709368103284</v>
      </c>
    </row>
    <row r="348" spans="1:27" x14ac:dyDescent="0.25">
      <c r="A348" s="2">
        <v>1</v>
      </c>
      <c r="B348" s="2">
        <v>9.6586180000000006</v>
      </c>
      <c r="C348" s="6">
        <v>3.7570162347313008</v>
      </c>
      <c r="D348" s="2">
        <v>-8.9999999999999993E-3</v>
      </c>
      <c r="E348" s="2">
        <v>4428</v>
      </c>
      <c r="F348" s="2">
        <v>1.0109999999999999</v>
      </c>
      <c r="G348" s="2">
        <v>-0.51429999999999998</v>
      </c>
      <c r="H348" s="2">
        <v>7.1859999999999999</v>
      </c>
      <c r="I348" s="2">
        <v>21691</v>
      </c>
      <c r="J348" s="2">
        <v>0.98170000000000002</v>
      </c>
      <c r="K348" s="2">
        <v>742.5</v>
      </c>
      <c r="L348" s="2">
        <v>8.9950000000000002E-2</v>
      </c>
      <c r="M348" s="2">
        <v>0.25209999999999999</v>
      </c>
      <c r="N348">
        <f t="shared" si="69"/>
        <v>1.011E-3</v>
      </c>
      <c r="O348" s="7">
        <f t="shared" si="65"/>
        <v>4556359679.3825121</v>
      </c>
      <c r="P348" s="7">
        <f t="shared" si="70"/>
        <v>1.4378777621808157E+17</v>
      </c>
      <c r="Q348">
        <f t="shared" si="71"/>
        <v>70399973999.999985</v>
      </c>
      <c r="R348">
        <f t="shared" si="72"/>
        <v>51703245000000</v>
      </c>
      <c r="S348" s="1">
        <f t="shared" si="73"/>
        <v>1.9890000000000001E+33</v>
      </c>
      <c r="T348" s="1">
        <f t="shared" si="74"/>
        <v>1.9526013000000001E+33</v>
      </c>
      <c r="U348" s="8">
        <f t="shared" si="66"/>
        <v>4.3697631832416254E-17</v>
      </c>
      <c r="V348" s="11">
        <f t="shared" si="67"/>
        <v>2.4851501090807425E+54</v>
      </c>
      <c r="W348" s="1">
        <f t="shared" si="68"/>
        <v>8.8670865653237921E+53</v>
      </c>
      <c r="X348">
        <f t="shared" si="75"/>
        <v>54.395352626299349</v>
      </c>
      <c r="Y348">
        <f t="shared" si="76"/>
        <v>53.947780948304477</v>
      </c>
      <c r="AA348" s="10">
        <f t="shared" si="77"/>
        <v>4556.3596793825118</v>
      </c>
    </row>
    <row r="349" spans="1:27" x14ac:dyDescent="0.25">
      <c r="A349" s="2">
        <v>1</v>
      </c>
      <c r="B349" s="2">
        <v>9.6616280000000003</v>
      </c>
      <c r="C349" s="6">
        <v>3.7571681922142726</v>
      </c>
      <c r="D349" s="2">
        <v>-7.0000000000000001E-3</v>
      </c>
      <c r="E349" s="2">
        <v>4427</v>
      </c>
      <c r="F349" s="2">
        <v>1.012</v>
      </c>
      <c r="G349" s="2">
        <v>-0.51429999999999998</v>
      </c>
      <c r="H349" s="2">
        <v>7.1870000000000003</v>
      </c>
      <c r="I349" s="2">
        <v>21717</v>
      </c>
      <c r="J349" s="2">
        <v>0.98170000000000002</v>
      </c>
      <c r="K349" s="2">
        <v>743</v>
      </c>
      <c r="L349" s="2">
        <v>8.993000000000001E-2</v>
      </c>
      <c r="M349" s="2">
        <v>0.25190000000000001</v>
      </c>
      <c r="N349">
        <f t="shared" si="69"/>
        <v>1.0120000000000001E-3</v>
      </c>
      <c r="O349" s="7">
        <f t="shared" si="65"/>
        <v>4588048498.3542166</v>
      </c>
      <c r="P349" s="7">
        <f t="shared" si="70"/>
        <v>1.4478779929166304E+17</v>
      </c>
      <c r="Q349">
        <f t="shared" si="71"/>
        <v>70469608000</v>
      </c>
      <c r="R349">
        <f t="shared" si="72"/>
        <v>51738062000000</v>
      </c>
      <c r="S349" s="1">
        <f t="shared" si="73"/>
        <v>1.9890000000000001E+33</v>
      </c>
      <c r="T349" s="1">
        <f t="shared" si="74"/>
        <v>1.9526013000000001E+33</v>
      </c>
      <c r="U349" s="8">
        <f t="shared" si="66"/>
        <v>4.3395820213570822E-17</v>
      </c>
      <c r="V349" s="11">
        <f t="shared" si="67"/>
        <v>2.4880933010889694E+54</v>
      </c>
      <c r="W349" s="1">
        <f t="shared" si="68"/>
        <v>8.8826609990842022E+53</v>
      </c>
      <c r="X349">
        <f t="shared" si="75"/>
        <v>54.395866661946577</v>
      </c>
      <c r="Y349">
        <f t="shared" si="76"/>
        <v>53.948543087861921</v>
      </c>
      <c r="AA349" s="10">
        <f t="shared" si="77"/>
        <v>4588.0484983542165</v>
      </c>
    </row>
    <row r="350" spans="1:27" x14ac:dyDescent="0.25">
      <c r="A350" s="2">
        <v>1</v>
      </c>
      <c r="B350" s="2">
        <v>9.6646180000000008</v>
      </c>
      <c r="C350" s="6">
        <v>3.7572441510219701</v>
      </c>
      <c r="D350" s="2">
        <v>-6.0000000000000001E-3</v>
      </c>
      <c r="E350" s="2">
        <v>4426</v>
      </c>
      <c r="F350" s="2">
        <v>1.0129999999999999</v>
      </c>
      <c r="G350" s="2">
        <v>-0.51429999999999998</v>
      </c>
      <c r="H350" s="2">
        <v>7.1879999999999997</v>
      </c>
      <c r="I350" s="2">
        <v>21742</v>
      </c>
      <c r="J350" s="2">
        <v>0.98170000000000002</v>
      </c>
      <c r="K350" s="2">
        <v>743.5</v>
      </c>
      <c r="L350" s="2">
        <v>8.9900000000000008E-2</v>
      </c>
      <c r="M350" s="2">
        <v>0.25159999999999999</v>
      </c>
      <c r="N350">
        <f t="shared" si="69"/>
        <v>1.0129999999999998E-3</v>
      </c>
      <c r="O350" s="7">
        <f t="shared" si="65"/>
        <v>4619744956.437458</v>
      </c>
      <c r="P350" s="7">
        <f t="shared" si="70"/>
        <v>1.4578806343727072E+17</v>
      </c>
      <c r="Q350">
        <f t="shared" si="71"/>
        <v>70539241999.999985</v>
      </c>
      <c r="R350">
        <f t="shared" si="72"/>
        <v>51772879000000</v>
      </c>
      <c r="S350" s="1">
        <f t="shared" si="73"/>
        <v>1.9890000000000001E+33</v>
      </c>
      <c r="T350" s="1">
        <f t="shared" si="74"/>
        <v>1.9526013000000001E+33</v>
      </c>
      <c r="U350" s="8">
        <f t="shared" si="66"/>
        <v>4.3098077846977488E-17</v>
      </c>
      <c r="V350" s="11">
        <f t="shared" si="67"/>
        <v>2.4900438602551014E+54</v>
      </c>
      <c r="W350" s="1">
        <f t="shared" si="68"/>
        <v>8.8972552876364724E+53</v>
      </c>
      <c r="X350">
        <f t="shared" si="75"/>
        <v>54.396206996934694</v>
      </c>
      <c r="Y350">
        <f t="shared" si="76"/>
        <v>53.949256051894693</v>
      </c>
      <c r="AA350" s="10">
        <f t="shared" si="77"/>
        <v>4619.7449564374583</v>
      </c>
    </row>
    <row r="351" spans="1:27" x14ac:dyDescent="0.25">
      <c r="A351" s="2">
        <v>1</v>
      </c>
      <c r="B351" s="2">
        <v>9.667586</v>
      </c>
      <c r="C351" s="6">
        <v>3.7573200965466724</v>
      </c>
      <c r="D351" s="2">
        <v>-5.0000000000000001E-3</v>
      </c>
      <c r="E351" s="2">
        <v>4425</v>
      </c>
      <c r="F351" s="2">
        <v>1.014</v>
      </c>
      <c r="G351" s="2">
        <v>-0.51429999999999998</v>
      </c>
      <c r="H351" s="2">
        <v>7.1879999999999997</v>
      </c>
      <c r="I351" s="2">
        <v>21768</v>
      </c>
      <c r="J351" s="2">
        <v>0.98170000000000002</v>
      </c>
      <c r="K351" s="2">
        <v>743.9</v>
      </c>
      <c r="L351" s="2">
        <v>8.9880000000000002E-2</v>
      </c>
      <c r="M351" s="2">
        <v>0.25140000000000001</v>
      </c>
      <c r="N351">
        <f t="shared" si="69"/>
        <v>1.0139999999999999E-3</v>
      </c>
      <c r="O351" s="7">
        <f t="shared" si="65"/>
        <v>4651424756.3865576</v>
      </c>
      <c r="P351" s="7">
        <f t="shared" si="70"/>
        <v>1.4678780189214442E+17</v>
      </c>
      <c r="Q351">
        <f t="shared" si="71"/>
        <v>70608876000</v>
      </c>
      <c r="R351">
        <f t="shared" si="72"/>
        <v>51800732600000</v>
      </c>
      <c r="S351" s="1">
        <f t="shared" si="73"/>
        <v>1.9890000000000001E+33</v>
      </c>
      <c r="T351" s="1">
        <f t="shared" si="74"/>
        <v>1.9526013000000001E+33</v>
      </c>
      <c r="U351" s="8">
        <f t="shared" si="66"/>
        <v>4.2804546605284649E-17</v>
      </c>
      <c r="V351" s="11">
        <f t="shared" si="67"/>
        <v>2.4929791872142892E+54</v>
      </c>
      <c r="W351" s="1">
        <f t="shared" si="68"/>
        <v>8.9128468316157652E+53</v>
      </c>
      <c r="X351">
        <f t="shared" si="75"/>
        <v>54.396718652785474</v>
      </c>
      <c r="Y351">
        <f t="shared" si="76"/>
        <v>53.950016443182626</v>
      </c>
      <c r="AA351" s="10">
        <f t="shared" si="77"/>
        <v>4651.4247563865574</v>
      </c>
    </row>
    <row r="352" spans="1:27" x14ac:dyDescent="0.25">
      <c r="A352" s="2">
        <v>1</v>
      </c>
      <c r="B352" s="2">
        <v>9.670534</v>
      </c>
      <c r="C352" s="6">
        <v>3.7573960287930244</v>
      </c>
      <c r="D352" s="2">
        <v>-4.0000000000000001E-3</v>
      </c>
      <c r="E352" s="2">
        <v>4424</v>
      </c>
      <c r="F352" s="2">
        <v>1.0149999999999999</v>
      </c>
      <c r="G352" s="2">
        <v>-0.51429999999999998</v>
      </c>
      <c r="H352" s="2">
        <v>7.1890000000000001</v>
      </c>
      <c r="I352" s="2">
        <v>21794</v>
      </c>
      <c r="J352" s="2">
        <v>0.98170000000000002</v>
      </c>
      <c r="K352" s="2">
        <v>744.4</v>
      </c>
      <c r="L352" s="2">
        <v>8.9859999999999995E-2</v>
      </c>
      <c r="M352" s="2">
        <v>0.25109999999999999</v>
      </c>
      <c r="N352">
        <f t="shared" si="69"/>
        <v>1.0149999999999998E-3</v>
      </c>
      <c r="O352" s="7">
        <f t="shared" si="65"/>
        <v>4683106129.8973761</v>
      </c>
      <c r="P352" s="7">
        <f t="shared" si="70"/>
        <v>1.4778759000484944E+17</v>
      </c>
      <c r="Q352">
        <f t="shared" si="71"/>
        <v>70678509999.999985</v>
      </c>
      <c r="R352">
        <f t="shared" si="72"/>
        <v>51835549599999.992</v>
      </c>
      <c r="S352" s="1">
        <f t="shared" si="73"/>
        <v>1.9890000000000001E+33</v>
      </c>
      <c r="T352" s="1">
        <f t="shared" si="74"/>
        <v>1.9526013000000001E+33</v>
      </c>
      <c r="U352" s="8">
        <f t="shared" si="66"/>
        <v>4.2514972380112652E-17</v>
      </c>
      <c r="V352" s="11">
        <f t="shared" si="67"/>
        <v>2.4949179444668604E+54</v>
      </c>
      <c r="W352" s="1">
        <f t="shared" si="68"/>
        <v>8.9284478888806083E+53</v>
      </c>
      <c r="X352">
        <f t="shared" si="75"/>
        <v>54.397056266652285</v>
      </c>
      <c r="Y352">
        <f t="shared" si="76"/>
        <v>53.950775968196375</v>
      </c>
      <c r="AA352" s="10">
        <f t="shared" si="77"/>
        <v>4683.1061298973764</v>
      </c>
    </row>
    <row r="353" spans="1:27" x14ac:dyDescent="0.25">
      <c r="A353" s="2">
        <v>1</v>
      </c>
      <c r="B353" s="2">
        <v>9.6734629999999999</v>
      </c>
      <c r="C353" s="6">
        <v>3.757471947765668</v>
      </c>
      <c r="D353" s="2">
        <v>-2E-3</v>
      </c>
      <c r="E353" s="2">
        <v>4424</v>
      </c>
      <c r="F353" s="2">
        <v>1.016</v>
      </c>
      <c r="G353" s="2">
        <v>-0.51429999999999998</v>
      </c>
      <c r="H353" s="2">
        <v>7.1890000000000001</v>
      </c>
      <c r="I353" s="2">
        <v>21821</v>
      </c>
      <c r="J353" s="2">
        <v>0.98170000000000002</v>
      </c>
      <c r="K353" s="2">
        <v>744.9</v>
      </c>
      <c r="L353" s="2">
        <v>8.9829999999999993E-2</v>
      </c>
      <c r="M353" s="2">
        <v>0.25080000000000002</v>
      </c>
      <c r="N353">
        <f t="shared" si="69"/>
        <v>1.016E-3</v>
      </c>
      <c r="O353" s="7">
        <f t="shared" si="65"/>
        <v>4714797016.0642548</v>
      </c>
      <c r="P353" s="7">
        <f t="shared" si="70"/>
        <v>1.4878767831414931E+17</v>
      </c>
      <c r="Q353">
        <f t="shared" si="71"/>
        <v>70748144000</v>
      </c>
      <c r="R353">
        <f t="shared" si="72"/>
        <v>51870366600000</v>
      </c>
      <c r="S353" s="1">
        <f t="shared" si="73"/>
        <v>1.9890000000000001E+33</v>
      </c>
      <c r="T353" s="1">
        <f t="shared" si="74"/>
        <v>1.9526013000000001E+33</v>
      </c>
      <c r="U353" s="8">
        <f t="shared" si="66"/>
        <v>4.2229204584490598E-17</v>
      </c>
      <c r="V353" s="11">
        <f t="shared" si="67"/>
        <v>2.4968497982220678E+54</v>
      </c>
      <c r="W353" s="1">
        <f t="shared" si="68"/>
        <v>8.9430628937116551E+53</v>
      </c>
      <c r="X353">
        <f t="shared" si="75"/>
        <v>54.397392417495382</v>
      </c>
      <c r="Y353">
        <f t="shared" si="76"/>
        <v>53.951486285017737</v>
      </c>
      <c r="AA353" s="10">
        <f t="shared" si="77"/>
        <v>4714.7970160642544</v>
      </c>
    </row>
    <row r="354" spans="1:27" x14ac:dyDescent="0.25">
      <c r="A354" s="2">
        <v>1</v>
      </c>
      <c r="B354" s="2">
        <v>9.6763729999999999</v>
      </c>
      <c r="C354" s="6">
        <v>3.7575478534692439</v>
      </c>
      <c r="D354" s="2">
        <v>-1E-3</v>
      </c>
      <c r="E354" s="2">
        <v>4423</v>
      </c>
      <c r="F354" s="2">
        <v>1.0169999999999999</v>
      </c>
      <c r="G354" s="2">
        <v>-0.51429999999999998</v>
      </c>
      <c r="H354" s="2">
        <v>7.19</v>
      </c>
      <c r="I354" s="2">
        <v>21847</v>
      </c>
      <c r="J354" s="2">
        <v>0.98170000000000002</v>
      </c>
      <c r="K354" s="2">
        <v>745.4</v>
      </c>
      <c r="L354" s="2">
        <v>8.9810000000000001E-2</v>
      </c>
      <c r="M354" s="2">
        <v>0.25059999999999999</v>
      </c>
      <c r="N354">
        <f t="shared" si="69"/>
        <v>1.0169999999999999E-3</v>
      </c>
      <c r="O354" s="7">
        <f t="shared" si="65"/>
        <v>4746494697.0420418</v>
      </c>
      <c r="P354" s="7">
        <f t="shared" si="70"/>
        <v>1.4978798105137395E+17</v>
      </c>
      <c r="Q354">
        <f t="shared" si="71"/>
        <v>70817778000</v>
      </c>
      <c r="R354">
        <f t="shared" si="72"/>
        <v>51905183600000</v>
      </c>
      <c r="S354" s="1">
        <f t="shared" si="73"/>
        <v>1.9890000000000001E+33</v>
      </c>
      <c r="T354" s="1">
        <f t="shared" si="74"/>
        <v>1.9526013000000001E+33</v>
      </c>
      <c r="U354" s="8">
        <f t="shared" si="66"/>
        <v>4.1947192712508709E-17</v>
      </c>
      <c r="V354" s="11">
        <f t="shared" si="67"/>
        <v>2.4997722459826191E+54</v>
      </c>
      <c r="W354" s="1">
        <f t="shared" si="68"/>
        <v>8.958680982110897E+53</v>
      </c>
      <c r="X354">
        <f t="shared" si="75"/>
        <v>54.397900441944522</v>
      </c>
      <c r="Y354">
        <f t="shared" si="76"/>
        <v>53.95224407167558</v>
      </c>
      <c r="AA354" s="10">
        <f t="shared" si="77"/>
        <v>4746.4946970420415</v>
      </c>
    </row>
    <row r="355" spans="1:27" x14ac:dyDescent="0.25">
      <c r="A355" s="2">
        <v>1</v>
      </c>
      <c r="B355" s="2">
        <v>9.6792630000000006</v>
      </c>
      <c r="C355" s="6">
        <v>3.757623745908389</v>
      </c>
      <c r="D355" s="2">
        <v>0</v>
      </c>
      <c r="E355" s="2">
        <v>4422</v>
      </c>
      <c r="F355" s="2">
        <v>1.018</v>
      </c>
      <c r="G355" s="2">
        <v>-0.51429999999999998</v>
      </c>
      <c r="H355" s="2">
        <v>7.19</v>
      </c>
      <c r="I355" s="2">
        <v>21875</v>
      </c>
      <c r="J355" s="2">
        <v>0.98170000000000002</v>
      </c>
      <c r="K355" s="2">
        <v>745.9</v>
      </c>
      <c r="L355" s="2">
        <v>8.9790000000000009E-2</v>
      </c>
      <c r="M355" s="2">
        <v>0.25030000000000002</v>
      </c>
      <c r="N355">
        <f t="shared" si="69"/>
        <v>1.018E-3</v>
      </c>
      <c r="O355" s="7">
        <f t="shared" si="65"/>
        <v>4778185433.5678616</v>
      </c>
      <c r="P355" s="7">
        <f t="shared" si="70"/>
        <v>1.5078806463836115E+17</v>
      </c>
      <c r="Q355">
        <f t="shared" si="71"/>
        <v>70887412000</v>
      </c>
      <c r="R355">
        <f t="shared" si="72"/>
        <v>51940000600000</v>
      </c>
      <c r="S355" s="1">
        <f t="shared" si="73"/>
        <v>1.9890000000000001E+33</v>
      </c>
      <c r="T355" s="1">
        <f t="shared" si="74"/>
        <v>1.9526013000000001E+33</v>
      </c>
      <c r="U355" s="8">
        <f t="shared" si="66"/>
        <v>4.1668983034225614E-17</v>
      </c>
      <c r="V355" s="11">
        <f t="shared" si="67"/>
        <v>2.5016922033086541E+54</v>
      </c>
      <c r="W355" s="1">
        <f t="shared" si="68"/>
        <v>8.9743085471467865E+53</v>
      </c>
      <c r="X355">
        <f t="shared" si="75"/>
        <v>54.398233875050607</v>
      </c>
      <c r="Y355">
        <f t="shared" si="76"/>
        <v>53.953000997002235</v>
      </c>
      <c r="AA355" s="10">
        <f t="shared" si="77"/>
        <v>4778.1854335678618</v>
      </c>
    </row>
    <row r="356" spans="1:27" x14ac:dyDescent="0.25">
      <c r="A356" s="2">
        <v>1</v>
      </c>
      <c r="B356" s="2">
        <v>9.6821330000000003</v>
      </c>
      <c r="C356" s="6">
        <v>3.7576996250877386</v>
      </c>
      <c r="D356" s="2">
        <v>1E-3</v>
      </c>
      <c r="E356" s="2">
        <v>4421</v>
      </c>
      <c r="F356" s="2">
        <v>1.02</v>
      </c>
      <c r="G356" s="2">
        <v>-0.51429999999999998</v>
      </c>
      <c r="H356" s="2">
        <v>7.1909999999999998</v>
      </c>
      <c r="I356" s="2">
        <v>21902</v>
      </c>
      <c r="J356" s="2">
        <v>0.98170000000000002</v>
      </c>
      <c r="K356" s="2">
        <v>746.4</v>
      </c>
      <c r="L356" s="2">
        <v>8.9760000000000006E-2</v>
      </c>
      <c r="M356" s="2">
        <v>0.25</v>
      </c>
      <c r="N356">
        <f t="shared" si="69"/>
        <v>1.0200000000000001E-3</v>
      </c>
      <c r="O356" s="7">
        <f t="shared" si="65"/>
        <v>4809866250.7746744</v>
      </c>
      <c r="P356" s="7">
        <f t="shared" si="70"/>
        <v>1.5178783519544688E+17</v>
      </c>
      <c r="Q356">
        <f t="shared" si="71"/>
        <v>71026680000</v>
      </c>
      <c r="R356">
        <f t="shared" si="72"/>
        <v>51974817600000</v>
      </c>
      <c r="S356" s="1">
        <f t="shared" si="73"/>
        <v>1.9890000000000001E+33</v>
      </c>
      <c r="T356" s="1">
        <f t="shared" si="74"/>
        <v>1.9526013000000001E+33</v>
      </c>
      <c r="U356" s="8">
        <f t="shared" si="66"/>
        <v>4.1394524792379807E-17</v>
      </c>
      <c r="V356" s="11">
        <f t="shared" si="67"/>
        <v>2.5085214654136886E+54</v>
      </c>
      <c r="W356" s="1">
        <f t="shared" si="68"/>
        <v>9.0065954694213078E+53</v>
      </c>
      <c r="X356">
        <f t="shared" si="75"/>
        <v>54.399417821636774</v>
      </c>
      <c r="Y356">
        <f t="shared" si="76"/>
        <v>53.954560656876822</v>
      </c>
      <c r="AA356" s="10">
        <f t="shared" si="77"/>
        <v>4809.866250774674</v>
      </c>
    </row>
    <row r="357" spans="1:27" x14ac:dyDescent="0.25">
      <c r="A357" s="2">
        <v>1</v>
      </c>
      <c r="B357" s="2">
        <v>9.684984</v>
      </c>
      <c r="C357" s="6">
        <v>3.7577754910119254</v>
      </c>
      <c r="D357" s="2">
        <v>3.0000000000000001E-3</v>
      </c>
      <c r="E357" s="2">
        <v>4420</v>
      </c>
      <c r="F357" s="2">
        <v>1.0209999999999999</v>
      </c>
      <c r="G357" s="2">
        <v>-0.51429999999999998</v>
      </c>
      <c r="H357" s="2">
        <v>7.1909999999999998</v>
      </c>
      <c r="I357" s="2">
        <v>21929</v>
      </c>
      <c r="J357" s="2">
        <v>0.98170000000000002</v>
      </c>
      <c r="K357" s="2">
        <v>746.9</v>
      </c>
      <c r="L357" s="2">
        <v>8.974E-2</v>
      </c>
      <c r="M357" s="2">
        <v>0.24980000000000002</v>
      </c>
      <c r="N357">
        <f t="shared" si="69"/>
        <v>1.021E-3</v>
      </c>
      <c r="O357" s="7">
        <f t="shared" si="65"/>
        <v>4841545303.4346018</v>
      </c>
      <c r="P357" s="7">
        <f t="shared" si="70"/>
        <v>1.5278755006766778E+17</v>
      </c>
      <c r="Q357">
        <f t="shared" si="71"/>
        <v>71096314000</v>
      </c>
      <c r="R357">
        <f t="shared" si="72"/>
        <v>52009634600000</v>
      </c>
      <c r="S357" s="1">
        <f t="shared" si="73"/>
        <v>1.9890000000000001E+33</v>
      </c>
      <c r="T357" s="1">
        <f t="shared" si="74"/>
        <v>1.9526013000000001E+33</v>
      </c>
      <c r="U357" s="8">
        <f t="shared" si="66"/>
        <v>4.1123673390906776E-17</v>
      </c>
      <c r="V357" s="11">
        <f t="shared" si="67"/>
        <v>2.5114317920293822E+54</v>
      </c>
      <c r="W357" s="1">
        <f t="shared" si="68"/>
        <v>9.0222533633593575E+53</v>
      </c>
      <c r="X357">
        <f t="shared" si="75"/>
        <v>54.399921387652839</v>
      </c>
      <c r="Y357">
        <f t="shared" si="76"/>
        <v>53.955315018811781</v>
      </c>
      <c r="AA357" s="10">
        <f t="shared" si="77"/>
        <v>4841.5453034346019</v>
      </c>
    </row>
    <row r="358" spans="1:27" x14ac:dyDescent="0.25">
      <c r="A358" s="2">
        <v>1</v>
      </c>
      <c r="B358" s="2">
        <v>9.687818</v>
      </c>
      <c r="C358" s="6">
        <v>3.75785134368558</v>
      </c>
      <c r="D358" s="2">
        <v>4.0000000000000001E-3</v>
      </c>
      <c r="E358" s="2">
        <v>4419</v>
      </c>
      <c r="F358" s="2">
        <v>1.022</v>
      </c>
      <c r="G358" s="2">
        <v>-0.51429999999999998</v>
      </c>
      <c r="H358" s="2">
        <v>7.1920000000000002</v>
      </c>
      <c r="I358" s="2">
        <v>21956</v>
      </c>
      <c r="J358" s="2">
        <v>0.98170000000000002</v>
      </c>
      <c r="K358" s="2">
        <v>747.4</v>
      </c>
      <c r="L358" s="2">
        <v>8.9719999999999994E-2</v>
      </c>
      <c r="M358" s="2">
        <v>0.2495</v>
      </c>
      <c r="N358">
        <f t="shared" si="69"/>
        <v>1.0220000000000001E-3</v>
      </c>
      <c r="O358" s="7">
        <f t="shared" si="65"/>
        <v>4873242241.0556545</v>
      </c>
      <c r="P358" s="7">
        <f t="shared" si="70"/>
        <v>1.5378782934633792E+17</v>
      </c>
      <c r="Q358">
        <f t="shared" si="71"/>
        <v>71165948000</v>
      </c>
      <c r="R358">
        <f t="shared" si="72"/>
        <v>52044451600000</v>
      </c>
      <c r="S358" s="1">
        <f t="shared" si="73"/>
        <v>1.9890000000000001E+33</v>
      </c>
      <c r="T358" s="1">
        <f t="shared" si="74"/>
        <v>1.9526013000000001E+33</v>
      </c>
      <c r="U358" s="8">
        <f t="shared" si="66"/>
        <v>4.0856193457477947E-17</v>
      </c>
      <c r="V358" s="11">
        <f t="shared" si="67"/>
        <v>2.513331712045933E+54</v>
      </c>
      <c r="W358" s="1">
        <f t="shared" si="68"/>
        <v>9.037920689569583E+53</v>
      </c>
      <c r="X358">
        <f t="shared" si="75"/>
        <v>54.4002498109977</v>
      </c>
      <c r="Y358">
        <f t="shared" si="76"/>
        <v>53.95606852594922</v>
      </c>
      <c r="AA358" s="10">
        <f t="shared" si="77"/>
        <v>4873.2422410556546</v>
      </c>
    </row>
    <row r="359" spans="1:27" x14ac:dyDescent="0.25">
      <c r="A359" s="2">
        <v>1</v>
      </c>
      <c r="B359" s="2">
        <v>9.6906330000000001</v>
      </c>
      <c r="C359" s="6">
        <v>3.7579271831133294</v>
      </c>
      <c r="D359" s="2">
        <v>5.0000000000000001E-3</v>
      </c>
      <c r="E359" s="2">
        <v>4418</v>
      </c>
      <c r="F359" s="2">
        <v>1.0229999999999999</v>
      </c>
      <c r="G359" s="2">
        <v>-0.51429999999999998</v>
      </c>
      <c r="H359" s="2">
        <v>7.1929999999999996</v>
      </c>
      <c r="I359" s="2">
        <v>21984</v>
      </c>
      <c r="J359" s="2">
        <v>0.98170000000000002</v>
      </c>
      <c r="K359" s="2">
        <v>748</v>
      </c>
      <c r="L359" s="2">
        <v>8.9689999999999992E-2</v>
      </c>
      <c r="M359" s="2">
        <v>0.24930000000000002</v>
      </c>
      <c r="N359">
        <f t="shared" si="69"/>
        <v>1.0229999999999998E-3</v>
      </c>
      <c r="O359" s="7">
        <f t="shared" si="65"/>
        <v>4904932103.0684214</v>
      </c>
      <c r="P359" s="7">
        <f t="shared" si="70"/>
        <v>1.54787885335792E+17</v>
      </c>
      <c r="Q359">
        <f t="shared" si="71"/>
        <v>71235582000</v>
      </c>
      <c r="R359">
        <f t="shared" si="72"/>
        <v>52086232000000</v>
      </c>
      <c r="S359" s="1">
        <f t="shared" si="73"/>
        <v>1.9890000000000001E+33</v>
      </c>
      <c r="T359" s="1">
        <f t="shared" si="74"/>
        <v>1.9526013000000001E+33</v>
      </c>
      <c r="U359" s="8">
        <f t="shared" si="66"/>
        <v>4.0592229124062523E-17</v>
      </c>
      <c r="V359" s="11">
        <f t="shared" si="67"/>
        <v>2.5162339363591159E+54</v>
      </c>
      <c r="W359" s="1">
        <f t="shared" si="68"/>
        <v>9.0525881168090275E+53</v>
      </c>
      <c r="X359">
        <f t="shared" si="75"/>
        <v>54.400751015368996</v>
      </c>
      <c r="Y359">
        <f t="shared" si="76"/>
        <v>53.956772760880121</v>
      </c>
      <c r="AA359" s="10">
        <f t="shared" si="77"/>
        <v>4904.9321030684214</v>
      </c>
    </row>
    <row r="360" spans="1:27" x14ac:dyDescent="0.25">
      <c r="A360" s="2">
        <v>1</v>
      </c>
      <c r="B360" s="2">
        <v>9.6934299999999993</v>
      </c>
      <c r="C360" s="6">
        <v>3.7580030092997991</v>
      </c>
      <c r="D360" s="2">
        <v>7.0000000000000001E-3</v>
      </c>
      <c r="E360" s="2">
        <v>4417</v>
      </c>
      <c r="F360" s="2">
        <v>1.024</v>
      </c>
      <c r="G360" s="2">
        <v>-0.51429999999999998</v>
      </c>
      <c r="H360" s="2">
        <v>7.1929999999999996</v>
      </c>
      <c r="I360" s="2">
        <v>22011</v>
      </c>
      <c r="J360" s="2">
        <v>0.98170000000000002</v>
      </c>
      <c r="K360" s="2">
        <v>748.5</v>
      </c>
      <c r="L360" s="2">
        <v>8.967E-2</v>
      </c>
      <c r="M360" s="2">
        <v>0.249</v>
      </c>
      <c r="N360">
        <f t="shared" si="69"/>
        <v>1.024E-3</v>
      </c>
      <c r="O360" s="7">
        <f t="shared" si="65"/>
        <v>4936623428.6821928</v>
      </c>
      <c r="P360" s="7">
        <f t="shared" si="70"/>
        <v>1.5578798751298115E+17</v>
      </c>
      <c r="Q360">
        <f t="shared" si="71"/>
        <v>71305216000</v>
      </c>
      <c r="R360">
        <f t="shared" si="72"/>
        <v>52121049000000</v>
      </c>
      <c r="S360" s="1">
        <f t="shared" si="73"/>
        <v>1.9890000000000001E+33</v>
      </c>
      <c r="T360" s="1">
        <f t="shared" si="74"/>
        <v>1.9526013000000001E+33</v>
      </c>
      <c r="U360" s="8">
        <f t="shared" si="66"/>
        <v>4.0331641787567446E-17</v>
      </c>
      <c r="V360" s="11">
        <f t="shared" si="67"/>
        <v>2.5181217824886133E+54</v>
      </c>
      <c r="W360" s="1">
        <f t="shared" si="68"/>
        <v>9.0682722986246569E+53</v>
      </c>
      <c r="X360">
        <f t="shared" si="75"/>
        <v>54.401076729816261</v>
      </c>
      <c r="Y360">
        <f t="shared" si="76"/>
        <v>53.95752455247947</v>
      </c>
      <c r="AA360" s="10">
        <f t="shared" si="77"/>
        <v>4936.6234286821928</v>
      </c>
    </row>
    <row r="361" spans="1:27" x14ac:dyDescent="0.25">
      <c r="A361" s="2">
        <v>1</v>
      </c>
      <c r="B361" s="2">
        <v>9.6962089999999996</v>
      </c>
      <c r="C361" s="6">
        <v>3.7581546219673898</v>
      </c>
      <c r="D361" s="2">
        <v>8.0000000000000002E-3</v>
      </c>
      <c r="E361" s="2">
        <v>4416</v>
      </c>
      <c r="F361" s="2">
        <v>1.0249999999999999</v>
      </c>
      <c r="G361" s="2">
        <v>-0.51429999999999998</v>
      </c>
      <c r="H361" s="2">
        <v>7.194</v>
      </c>
      <c r="I361" s="2">
        <v>22039</v>
      </c>
      <c r="J361" s="2">
        <v>0.98170000000000002</v>
      </c>
      <c r="K361" s="2">
        <v>749</v>
      </c>
      <c r="L361" s="2">
        <v>8.9650000000000007E-2</v>
      </c>
      <c r="M361" s="2">
        <v>0.24869999999999998</v>
      </c>
      <c r="N361">
        <f t="shared" si="69"/>
        <v>1.0249999999999999E-3</v>
      </c>
      <c r="O361" s="7">
        <f t="shared" si="65"/>
        <v>4968313591.9304247</v>
      </c>
      <c r="P361" s="7">
        <f t="shared" si="70"/>
        <v>1.5678805300870358E+17</v>
      </c>
      <c r="Q361">
        <f t="shared" si="71"/>
        <v>71374850000</v>
      </c>
      <c r="R361">
        <f t="shared" si="72"/>
        <v>52155866000000</v>
      </c>
      <c r="S361" s="1">
        <f t="shared" si="73"/>
        <v>1.9890000000000001E+33</v>
      </c>
      <c r="T361" s="1">
        <f t="shared" si="74"/>
        <v>1.9526013000000001E+33</v>
      </c>
      <c r="U361" s="8">
        <f t="shared" si="66"/>
        <v>4.007438823690728E-17</v>
      </c>
      <c r="V361" s="11">
        <f t="shared" si="67"/>
        <v>2.5200025804539935E+54</v>
      </c>
      <c r="W361" s="1">
        <f t="shared" si="68"/>
        <v>9.0839658760635509E+53</v>
      </c>
      <c r="X361">
        <f t="shared" si="75"/>
        <v>54.401400985494384</v>
      </c>
      <c r="Y361">
        <f t="shared" si="76"/>
        <v>53.958275494122653</v>
      </c>
      <c r="AA361" s="10">
        <f t="shared" si="77"/>
        <v>4968.313591930425</v>
      </c>
    </row>
    <row r="362" spans="1:27" x14ac:dyDescent="0.25">
      <c r="A362" s="2">
        <v>1</v>
      </c>
      <c r="B362" s="2">
        <v>9.698969</v>
      </c>
      <c r="C362" s="6">
        <v>3.7582304084577496</v>
      </c>
      <c r="D362" s="2">
        <v>8.9999999999999993E-3</v>
      </c>
      <c r="E362" s="2">
        <v>4415</v>
      </c>
      <c r="F362" s="2">
        <v>1.026</v>
      </c>
      <c r="G362" s="2">
        <v>-0.51429999999999998</v>
      </c>
      <c r="H362" s="2">
        <v>7.194</v>
      </c>
      <c r="I362" s="2">
        <v>22067</v>
      </c>
      <c r="J362" s="2">
        <v>0.98170000000000002</v>
      </c>
      <c r="K362" s="2">
        <v>749.5</v>
      </c>
      <c r="L362" s="2">
        <v>8.9620000000000005E-2</v>
      </c>
      <c r="M362" s="2">
        <v>0.24840000000000001</v>
      </c>
      <c r="N362">
        <f t="shared" si="69"/>
        <v>1.026E-3</v>
      </c>
      <c r="O362" s="7">
        <f t="shared" si="65"/>
        <v>4999988437.1676598</v>
      </c>
      <c r="P362" s="7">
        <f t="shared" si="70"/>
        <v>1.5778763510476214E+17</v>
      </c>
      <c r="Q362">
        <f t="shared" si="71"/>
        <v>71444484000</v>
      </c>
      <c r="R362">
        <f t="shared" si="72"/>
        <v>52190683000000</v>
      </c>
      <c r="S362" s="1">
        <f t="shared" si="73"/>
        <v>1.9890000000000001E+33</v>
      </c>
      <c r="T362" s="1">
        <f t="shared" si="74"/>
        <v>1.9526013000000001E+33</v>
      </c>
      <c r="U362" s="8">
        <f t="shared" si="66"/>
        <v>3.9820517640738472E-17</v>
      </c>
      <c r="V362" s="11">
        <f t="shared" si="67"/>
        <v>2.521876312895247E+54</v>
      </c>
      <c r="W362" s="1">
        <f t="shared" si="68"/>
        <v>9.0986535894392932E+53</v>
      </c>
      <c r="X362">
        <f t="shared" si="75"/>
        <v>54.401723782497037</v>
      </c>
      <c r="Y362">
        <f t="shared" si="76"/>
        <v>53.958977130569522</v>
      </c>
      <c r="AA362" s="10">
        <f t="shared" si="77"/>
        <v>4999.9884371676599</v>
      </c>
    </row>
    <row r="363" spans="1:27" x14ac:dyDescent="0.25">
      <c r="A363" s="2">
        <v>1</v>
      </c>
      <c r="B363" s="2">
        <v>9.7017129999999998</v>
      </c>
      <c r="C363" s="6">
        <v>3.7583061817253069</v>
      </c>
      <c r="D363" s="2">
        <v>1.0999999999999999E-2</v>
      </c>
      <c r="E363" s="2">
        <v>4414</v>
      </c>
      <c r="F363" s="2">
        <v>1.028</v>
      </c>
      <c r="G363" s="2">
        <v>-0.51429999999999998</v>
      </c>
      <c r="H363" s="2">
        <v>7.1950000000000003</v>
      </c>
      <c r="I363" s="2">
        <v>22095</v>
      </c>
      <c r="J363" s="2">
        <v>0.98250000000000004</v>
      </c>
      <c r="K363" s="2">
        <v>755.4</v>
      </c>
      <c r="L363" s="2">
        <v>8.7919999999999998E-2</v>
      </c>
      <c r="M363" s="2">
        <v>0.24880000000000002</v>
      </c>
      <c r="N363">
        <f t="shared" si="69"/>
        <v>1.0280000000000001E-3</v>
      </c>
      <c r="O363" s="7">
        <f t="shared" si="65"/>
        <v>5031679843.9619827</v>
      </c>
      <c r="P363" s="7">
        <f t="shared" si="70"/>
        <v>1.5878773984381466E+17</v>
      </c>
      <c r="Q363">
        <f t="shared" si="71"/>
        <v>71583752000</v>
      </c>
      <c r="R363">
        <f t="shared" si="72"/>
        <v>52601523600000</v>
      </c>
      <c r="S363" s="1">
        <f t="shared" si="73"/>
        <v>1.9890000000000001E+33</v>
      </c>
      <c r="T363" s="1">
        <f t="shared" si="74"/>
        <v>1.9541925000000002E+33</v>
      </c>
      <c r="U363" s="8">
        <f t="shared" si="66"/>
        <v>3.9569713085908242E-17</v>
      </c>
      <c r="V363" s="11">
        <f t="shared" si="67"/>
        <v>2.5357946122970706E+54</v>
      </c>
      <c r="W363" s="1">
        <f t="shared" si="68"/>
        <v>8.9608947875063663E+53</v>
      </c>
      <c r="X363">
        <f t="shared" si="75"/>
        <v>54.404114074778199</v>
      </c>
      <c r="Y363">
        <f t="shared" si="76"/>
        <v>53.952351378174846</v>
      </c>
      <c r="AA363" s="10">
        <f t="shared" si="77"/>
        <v>5031.6798439619824</v>
      </c>
    </row>
    <row r="364" spans="1:27" x14ac:dyDescent="0.25">
      <c r="A364" s="2">
        <v>1</v>
      </c>
      <c r="B364" s="2">
        <v>9.70444</v>
      </c>
      <c r="C364" s="6">
        <v>3.7583819417746751</v>
      </c>
      <c r="D364" s="2">
        <v>1.2E-2</v>
      </c>
      <c r="E364" s="2">
        <v>4413</v>
      </c>
      <c r="F364" s="2">
        <v>1.0289999999999999</v>
      </c>
      <c r="G364" s="2">
        <v>-0.51429999999999998</v>
      </c>
      <c r="H364" s="2">
        <v>7.1959999999999997</v>
      </c>
      <c r="I364" s="2">
        <v>22124</v>
      </c>
      <c r="J364" s="2">
        <v>0.98250000000000004</v>
      </c>
      <c r="K364" s="2">
        <v>755.9</v>
      </c>
      <c r="L364" s="2">
        <v>8.7900000000000006E-2</v>
      </c>
      <c r="M364" s="2">
        <v>0.2485</v>
      </c>
      <c r="N364">
        <f t="shared" si="69"/>
        <v>1.029E-3</v>
      </c>
      <c r="O364" s="7">
        <f t="shared" si="65"/>
        <v>5063373915.9564638</v>
      </c>
      <c r="P364" s="7">
        <f t="shared" si="70"/>
        <v>1.5978792869018771E+17</v>
      </c>
      <c r="Q364">
        <f t="shared" si="71"/>
        <v>71653385999.999985</v>
      </c>
      <c r="R364">
        <f t="shared" si="72"/>
        <v>52636340600000</v>
      </c>
      <c r="S364" s="1">
        <f t="shared" si="73"/>
        <v>1.9890000000000001E+33</v>
      </c>
      <c r="T364" s="1">
        <f t="shared" si="74"/>
        <v>1.9541925000000002E+33</v>
      </c>
      <c r="U364" s="8">
        <f t="shared" si="66"/>
        <v>3.9322027381442774E-17</v>
      </c>
      <c r="V364" s="11">
        <f t="shared" si="67"/>
        <v>2.5376668826396906E+54</v>
      </c>
      <c r="W364" s="1">
        <f t="shared" si="68"/>
        <v>8.9762945265202739E+53</v>
      </c>
      <c r="X364">
        <f t="shared" si="75"/>
        <v>54.404434612035118</v>
      </c>
      <c r="Y364">
        <f t="shared" si="76"/>
        <v>53.953097094039542</v>
      </c>
      <c r="AA364" s="10">
        <f t="shared" si="77"/>
        <v>5063.3739159564639</v>
      </c>
    </row>
    <row r="365" spans="1:27" x14ac:dyDescent="0.25">
      <c r="A365" s="2">
        <v>1</v>
      </c>
      <c r="B365" s="2">
        <v>9.7071489999999994</v>
      </c>
      <c r="C365" s="6">
        <v>3.7584576886104655</v>
      </c>
      <c r="D365" s="2">
        <v>1.2999999999999999E-2</v>
      </c>
      <c r="E365" s="2">
        <v>4412</v>
      </c>
      <c r="F365" s="2">
        <v>1.03</v>
      </c>
      <c r="G365" s="2">
        <v>-0.51429999999999998</v>
      </c>
      <c r="H365" s="2">
        <v>7.1959999999999997</v>
      </c>
      <c r="I365" s="2">
        <v>22153</v>
      </c>
      <c r="J365" s="2">
        <v>0.98250000000000004</v>
      </c>
      <c r="K365" s="2">
        <v>756.5</v>
      </c>
      <c r="L365" s="2">
        <v>8.7870000000000004E-2</v>
      </c>
      <c r="M365" s="2">
        <v>0.24819999999999998</v>
      </c>
      <c r="N365">
        <f t="shared" si="69"/>
        <v>1.0300000000000001E-3</v>
      </c>
      <c r="O365" s="7">
        <f t="shared" si="65"/>
        <v>5095056449.0963383</v>
      </c>
      <c r="P365" s="7">
        <f t="shared" si="70"/>
        <v>1.6078775339800259E+17</v>
      </c>
      <c r="Q365">
        <f t="shared" si="71"/>
        <v>71723020000</v>
      </c>
      <c r="R365">
        <f t="shared" si="72"/>
        <v>52678121000000</v>
      </c>
      <c r="S365" s="1">
        <f t="shared" si="73"/>
        <v>1.9890000000000001E+33</v>
      </c>
      <c r="T365" s="1">
        <f t="shared" si="74"/>
        <v>1.9541925000000002E+33</v>
      </c>
      <c r="U365" s="8">
        <f t="shared" si="66"/>
        <v>3.9077511653680706E-17</v>
      </c>
      <c r="V365" s="11">
        <f t="shared" si="67"/>
        <v>2.5395320373070439E+54</v>
      </c>
      <c r="W365" s="1">
        <f t="shared" si="68"/>
        <v>8.9906801014572908E+53</v>
      </c>
      <c r="X365">
        <f t="shared" si="75"/>
        <v>54.404753696013955</v>
      </c>
      <c r="Y365">
        <f t="shared" si="76"/>
        <v>53.953792545252504</v>
      </c>
      <c r="AA365" s="10">
        <f t="shared" si="77"/>
        <v>5095.0564490963379</v>
      </c>
    </row>
    <row r="366" spans="1:27" x14ac:dyDescent="0.25">
      <c r="A366" s="2">
        <v>1</v>
      </c>
      <c r="B366" s="2">
        <v>9.7098420000000001</v>
      </c>
      <c r="C366" s="6">
        <v>3.7585334222372864</v>
      </c>
      <c r="D366" s="2">
        <v>1.4999999999999999E-2</v>
      </c>
      <c r="E366" s="2">
        <v>4411</v>
      </c>
      <c r="F366" s="2">
        <v>1.0309999999999999</v>
      </c>
      <c r="G366" s="2">
        <v>-0.51429999999999998</v>
      </c>
      <c r="H366" s="2">
        <v>7.1970000000000001</v>
      </c>
      <c r="I366" s="2">
        <v>22182</v>
      </c>
      <c r="J366" s="2">
        <v>0.98250000000000004</v>
      </c>
      <c r="K366" s="2">
        <v>757</v>
      </c>
      <c r="L366" s="2">
        <v>8.7849999999999998E-2</v>
      </c>
      <c r="M366" s="2">
        <v>0.248</v>
      </c>
      <c r="N366">
        <f t="shared" si="69"/>
        <v>1.031E-3</v>
      </c>
      <c r="O366" s="7">
        <f t="shared" si="65"/>
        <v>5126748346.2508869</v>
      </c>
      <c r="P366" s="7">
        <f t="shared" si="70"/>
        <v>1.6178787361164698E+17</v>
      </c>
      <c r="Q366">
        <f t="shared" si="71"/>
        <v>71792654000</v>
      </c>
      <c r="R366">
        <f t="shared" si="72"/>
        <v>52712938000000</v>
      </c>
      <c r="S366" s="1">
        <f t="shared" si="73"/>
        <v>1.9890000000000001E+33</v>
      </c>
      <c r="T366" s="1">
        <f t="shared" si="74"/>
        <v>1.9541925000000002E+33</v>
      </c>
      <c r="U366" s="8">
        <f t="shared" si="66"/>
        <v>3.8835947138174545E-17</v>
      </c>
      <c r="V366" s="11">
        <f t="shared" si="67"/>
        <v>2.5424152263691069E+54</v>
      </c>
      <c r="W366" s="1">
        <f t="shared" si="68"/>
        <v>9.0060958724405659E+53</v>
      </c>
      <c r="X366">
        <f t="shared" si="75"/>
        <v>54.405246480834151</v>
      </c>
      <c r="Y366">
        <f t="shared" si="76"/>
        <v>53.954536565839248</v>
      </c>
      <c r="AA366" s="10">
        <f t="shared" si="77"/>
        <v>5126.7483462508872</v>
      </c>
    </row>
    <row r="367" spans="1:27" x14ac:dyDescent="0.25">
      <c r="A367" s="2">
        <v>1</v>
      </c>
      <c r="B367" s="2">
        <v>9.7125179999999993</v>
      </c>
      <c r="C367" s="6">
        <v>3.7586091426597439</v>
      </c>
      <c r="D367" s="2">
        <v>1.6E-2</v>
      </c>
      <c r="E367" s="2">
        <v>4410</v>
      </c>
      <c r="F367" s="2">
        <v>1.032</v>
      </c>
      <c r="G367" s="2">
        <v>-0.51429999999999998</v>
      </c>
      <c r="H367" s="2">
        <v>7.1970000000000001</v>
      </c>
      <c r="I367" s="2">
        <v>22212</v>
      </c>
      <c r="J367" s="2">
        <v>0.98250000000000004</v>
      </c>
      <c r="K367" s="2">
        <v>757.6</v>
      </c>
      <c r="L367" s="2">
        <v>8.7829999999999991E-2</v>
      </c>
      <c r="M367" s="2">
        <v>0.24769999999999998</v>
      </c>
      <c r="N367">
        <f t="shared" si="69"/>
        <v>1.0319999999999999E-3</v>
      </c>
      <c r="O367" s="7">
        <f t="shared" si="65"/>
        <v>5158435445.5505848</v>
      </c>
      <c r="P367" s="7">
        <f t="shared" si="70"/>
        <v>1.6278784241650714E+17</v>
      </c>
      <c r="Q367">
        <f t="shared" si="71"/>
        <v>71862288000</v>
      </c>
      <c r="R367">
        <f t="shared" si="72"/>
        <v>52754718400000</v>
      </c>
      <c r="S367" s="1">
        <f t="shared" si="73"/>
        <v>1.9890000000000001E+33</v>
      </c>
      <c r="T367" s="1">
        <f t="shared" si="74"/>
        <v>1.9541925000000002E+33</v>
      </c>
      <c r="U367" s="8">
        <f t="shared" si="66"/>
        <v>3.8597386720707919E-17</v>
      </c>
      <c r="V367" s="11">
        <f t="shared" si="67"/>
        <v>2.5442680872559452E+54</v>
      </c>
      <c r="W367" s="1">
        <f t="shared" si="68"/>
        <v>9.0215206339802027E+53</v>
      </c>
      <c r="X367">
        <f t="shared" si="75"/>
        <v>54.405562870609124</v>
      </c>
      <c r="Y367">
        <f t="shared" si="76"/>
        <v>53.955279746775417</v>
      </c>
      <c r="AA367" s="10">
        <f t="shared" si="77"/>
        <v>5158.4354455505845</v>
      </c>
    </row>
    <row r="368" spans="1:27" x14ac:dyDescent="0.25">
      <c r="A368" s="2">
        <v>1</v>
      </c>
      <c r="B368" s="2">
        <v>9.7151770000000006</v>
      </c>
      <c r="C368" s="6">
        <v>3.758684849882441</v>
      </c>
      <c r="D368" s="2">
        <v>1.7000000000000001E-2</v>
      </c>
      <c r="E368" s="2">
        <v>4409</v>
      </c>
      <c r="F368" s="2">
        <v>1.034</v>
      </c>
      <c r="G368" s="2">
        <v>-0.51429999999999998</v>
      </c>
      <c r="H368" s="2">
        <v>7.1980000000000004</v>
      </c>
      <c r="I368" s="2">
        <v>22241</v>
      </c>
      <c r="J368" s="2">
        <v>0.98250000000000004</v>
      </c>
      <c r="K368" s="2">
        <v>758.1</v>
      </c>
      <c r="L368" s="2">
        <v>8.7800000000000003E-2</v>
      </c>
      <c r="M368" s="2">
        <v>0.24740000000000001</v>
      </c>
      <c r="N368">
        <f t="shared" si="69"/>
        <v>1.034E-3</v>
      </c>
      <c r="O368" s="7">
        <f t="shared" si="65"/>
        <v>5190115229.0073214</v>
      </c>
      <c r="P368" s="7">
        <f t="shared" si="70"/>
        <v>1.6378758035092144E+17</v>
      </c>
      <c r="Q368">
        <f t="shared" si="71"/>
        <v>72001556000</v>
      </c>
      <c r="R368">
        <f t="shared" si="72"/>
        <v>52789535400000.008</v>
      </c>
      <c r="S368" s="1">
        <f t="shared" si="73"/>
        <v>1.9890000000000001E+33</v>
      </c>
      <c r="T368" s="1">
        <f t="shared" si="74"/>
        <v>1.9541925000000002E+33</v>
      </c>
      <c r="U368" s="8">
        <f t="shared" si="66"/>
        <v>3.8361793328392852E-17</v>
      </c>
      <c r="V368" s="11">
        <f t="shared" si="67"/>
        <v>2.5510457206908196E+54</v>
      </c>
      <c r="W368" s="1">
        <f t="shared" si="68"/>
        <v>9.0534282246020196E+53</v>
      </c>
      <c r="X368">
        <f t="shared" si="75"/>
        <v>54.406718242249852</v>
      </c>
      <c r="Y368">
        <f t="shared" si="76"/>
        <v>53.95681306286285</v>
      </c>
      <c r="AA368" s="10">
        <f t="shared" si="77"/>
        <v>5190.1152290073214</v>
      </c>
    </row>
    <row r="369" spans="1:27" x14ac:dyDescent="0.25">
      <c r="A369" s="2">
        <v>1</v>
      </c>
      <c r="B369" s="2">
        <v>9.7178210000000007</v>
      </c>
      <c r="C369" s="6">
        <v>3.7587605439099794</v>
      </c>
      <c r="D369" s="2">
        <v>1.9E-2</v>
      </c>
      <c r="E369" s="2">
        <v>4408</v>
      </c>
      <c r="F369" s="2">
        <v>1.0349999999999999</v>
      </c>
      <c r="G369" s="2">
        <v>-0.51429999999999998</v>
      </c>
      <c r="H369" s="2">
        <v>7.1989999999999998</v>
      </c>
      <c r="I369" s="2">
        <v>22271</v>
      </c>
      <c r="J369" s="2">
        <v>0.98250000000000004</v>
      </c>
      <c r="K369" s="2">
        <v>758.7</v>
      </c>
      <c r="L369" s="2">
        <v>8.7779999999999997E-2</v>
      </c>
      <c r="M369" s="2">
        <v>0.24709999999999999</v>
      </c>
      <c r="N369">
        <f t="shared" si="69"/>
        <v>1.0349999999999999E-3</v>
      </c>
      <c r="O369" s="7">
        <f t="shared" si="65"/>
        <v>5221809211.2460833</v>
      </c>
      <c r="P369" s="7">
        <f t="shared" si="70"/>
        <v>1.6478776636481939E+17</v>
      </c>
      <c r="Q369">
        <f t="shared" si="71"/>
        <v>72071190000</v>
      </c>
      <c r="R369">
        <f t="shared" si="72"/>
        <v>52831315800000</v>
      </c>
      <c r="S369" s="1">
        <f t="shared" si="73"/>
        <v>1.9890000000000001E+33</v>
      </c>
      <c r="T369" s="1">
        <f t="shared" si="74"/>
        <v>1.9541925000000002E+33</v>
      </c>
      <c r="U369" s="8">
        <f t="shared" si="66"/>
        <v>3.8128954871986093E-17</v>
      </c>
      <c r="V369" s="11">
        <f t="shared" si="67"/>
        <v>2.552883018328566E+54</v>
      </c>
      <c r="W369" s="1">
        <f t="shared" si="68"/>
        <v>9.0688818838074277E+53</v>
      </c>
      <c r="X369">
        <f t="shared" si="75"/>
        <v>54.407030914428852</v>
      </c>
      <c r="Y369">
        <f t="shared" si="76"/>
        <v>53.957553745535726</v>
      </c>
      <c r="AA369" s="10">
        <f t="shared" si="77"/>
        <v>5221.8092112460836</v>
      </c>
    </row>
    <row r="370" spans="1:27" x14ac:dyDescent="0.25">
      <c r="A370" s="2">
        <v>1</v>
      </c>
      <c r="B370" s="2">
        <v>9.7204490000000003</v>
      </c>
      <c r="C370" s="6">
        <v>3.7588362247469584</v>
      </c>
      <c r="D370" s="2">
        <v>0.02</v>
      </c>
      <c r="E370" s="2">
        <v>4407</v>
      </c>
      <c r="F370" s="2">
        <v>1.036</v>
      </c>
      <c r="G370" s="2">
        <v>-0.51429999999999998</v>
      </c>
      <c r="H370" s="2">
        <v>7.1989999999999998</v>
      </c>
      <c r="I370" s="2">
        <v>22300</v>
      </c>
      <c r="J370" s="2">
        <v>0.98250000000000004</v>
      </c>
      <c r="K370" s="2">
        <v>759.3</v>
      </c>
      <c r="L370" s="2">
        <v>8.7749999999999995E-2</v>
      </c>
      <c r="M370" s="2">
        <v>0.24680000000000002</v>
      </c>
      <c r="N370">
        <f t="shared" si="69"/>
        <v>1.036E-3</v>
      </c>
      <c r="O370" s="7">
        <f t="shared" si="65"/>
        <v>5253503186.3316078</v>
      </c>
      <c r="P370" s="7">
        <f t="shared" si="70"/>
        <v>1.6578795215297834E+17</v>
      </c>
      <c r="Q370">
        <f t="shared" si="71"/>
        <v>72140824000</v>
      </c>
      <c r="R370">
        <f t="shared" si="72"/>
        <v>52873096200000</v>
      </c>
      <c r="S370" s="1">
        <f t="shared" si="73"/>
        <v>1.9890000000000001E+33</v>
      </c>
      <c r="T370" s="1">
        <f t="shared" si="74"/>
        <v>1.9541925000000002E+33</v>
      </c>
      <c r="U370" s="8">
        <f t="shared" si="66"/>
        <v>3.7898925860317473E-17</v>
      </c>
      <c r="V370" s="11">
        <f t="shared" si="67"/>
        <v>2.554713103846544E+54</v>
      </c>
      <c r="W370" s="1">
        <f t="shared" si="68"/>
        <v>9.0833093542355828E+53</v>
      </c>
      <c r="X370">
        <f t="shared" si="75"/>
        <v>54.407342135620532</v>
      </c>
      <c r="Y370">
        <f t="shared" si="76"/>
        <v>53.958244105397192</v>
      </c>
      <c r="AA370" s="10">
        <f t="shared" si="77"/>
        <v>5253.503186331608</v>
      </c>
    </row>
    <row r="371" spans="1:27" x14ac:dyDescent="0.25">
      <c r="A371" s="2">
        <v>1</v>
      </c>
      <c r="B371" s="2">
        <v>9.7230609999999995</v>
      </c>
      <c r="C371" s="6">
        <v>3.7589118923979736</v>
      </c>
      <c r="D371" s="2">
        <v>2.1000000000000001E-2</v>
      </c>
      <c r="E371" s="2">
        <v>4406</v>
      </c>
      <c r="F371" s="2">
        <v>1.0369999999999999</v>
      </c>
      <c r="G371" s="2">
        <v>-0.51429999999999998</v>
      </c>
      <c r="H371" s="2">
        <v>7.2</v>
      </c>
      <c r="I371" s="2">
        <v>22330</v>
      </c>
      <c r="J371" s="2">
        <v>0.98250000000000004</v>
      </c>
      <c r="K371" s="2">
        <v>759.8</v>
      </c>
      <c r="L371" s="2">
        <v>8.7730000000000002E-2</v>
      </c>
      <c r="M371" s="2">
        <v>0.24659999999999999</v>
      </c>
      <c r="N371">
        <f t="shared" si="69"/>
        <v>1.0369999999999999E-3</v>
      </c>
      <c r="O371" s="7">
        <f t="shared" si="65"/>
        <v>5285194811.8781662</v>
      </c>
      <c r="P371" s="7">
        <f t="shared" si="70"/>
        <v>1.6678806379532643E+17</v>
      </c>
      <c r="Q371">
        <f t="shared" si="71"/>
        <v>72210458000</v>
      </c>
      <c r="R371">
        <f t="shared" si="72"/>
        <v>52907913199999.992</v>
      </c>
      <c r="S371" s="1">
        <f t="shared" si="73"/>
        <v>1.9890000000000001E+33</v>
      </c>
      <c r="T371" s="1">
        <f t="shared" si="74"/>
        <v>1.9541925000000002E+33</v>
      </c>
      <c r="U371" s="8">
        <f t="shared" si="66"/>
        <v>3.7671672445877071E-17</v>
      </c>
      <c r="V371" s="11">
        <f t="shared" si="67"/>
        <v>2.5575730941483879E+54</v>
      </c>
      <c r="W371" s="1">
        <f t="shared" si="68"/>
        <v>9.098778894956936E+53</v>
      </c>
      <c r="X371">
        <f t="shared" si="75"/>
        <v>54.407828054478699</v>
      </c>
      <c r="Y371">
        <f t="shared" si="76"/>
        <v>53.958983111577545</v>
      </c>
      <c r="AA371" s="10">
        <f t="shared" si="77"/>
        <v>5285.1948118781665</v>
      </c>
    </row>
    <row r="372" spans="1:27" x14ac:dyDescent="0.25">
      <c r="A372" s="2">
        <v>1</v>
      </c>
      <c r="B372" s="2">
        <v>9.7256560000000007</v>
      </c>
      <c r="C372" s="6">
        <v>3.7589875468676195</v>
      </c>
      <c r="D372" s="2">
        <v>2.3E-2</v>
      </c>
      <c r="E372" s="2">
        <v>4405</v>
      </c>
      <c r="F372" s="2">
        <v>1.0389999999999999</v>
      </c>
      <c r="G372" s="2">
        <v>-0.51429999999999998</v>
      </c>
      <c r="H372" s="2">
        <v>7.2</v>
      </c>
      <c r="I372" s="2">
        <v>22361</v>
      </c>
      <c r="J372" s="2">
        <v>0.98250000000000004</v>
      </c>
      <c r="K372" s="2">
        <v>760.4</v>
      </c>
      <c r="L372" s="2">
        <v>8.77E-2</v>
      </c>
      <c r="M372" s="2">
        <v>0.24630000000000002</v>
      </c>
      <c r="N372">
        <f t="shared" si="69"/>
        <v>1.039E-3</v>
      </c>
      <c r="O372" s="7">
        <f t="shared" si="65"/>
        <v>5316869489.0283146</v>
      </c>
      <c r="P372" s="7">
        <f t="shared" si="70"/>
        <v>1.6778764058695994E+17</v>
      </c>
      <c r="Q372">
        <f t="shared" si="71"/>
        <v>72349726000</v>
      </c>
      <c r="R372">
        <f t="shared" si="72"/>
        <v>52949693600000</v>
      </c>
      <c r="S372" s="1">
        <f t="shared" si="73"/>
        <v>1.9890000000000001E+33</v>
      </c>
      <c r="T372" s="1">
        <f t="shared" si="74"/>
        <v>1.9541925000000002E+33</v>
      </c>
      <c r="U372" s="8">
        <f t="shared" si="66"/>
        <v>3.7447247515964541E-17</v>
      </c>
      <c r="V372" s="11">
        <f t="shared" si="67"/>
        <v>2.5643244686390341E+54</v>
      </c>
      <c r="W372" s="1">
        <f t="shared" si="68"/>
        <v>9.1307858668145864E+53</v>
      </c>
      <c r="X372">
        <f t="shared" si="75"/>
        <v>54.408972976394359</v>
      </c>
      <c r="Y372">
        <f t="shared" si="76"/>
        <v>53.960508157921296</v>
      </c>
      <c r="AA372" s="10">
        <f t="shared" si="77"/>
        <v>5316.869489028315</v>
      </c>
    </row>
    <row r="373" spans="1:27" x14ac:dyDescent="0.25">
      <c r="A373" s="2">
        <v>1</v>
      </c>
      <c r="B373" s="2">
        <v>9.728237</v>
      </c>
      <c r="C373" s="6">
        <v>3.759063188160487</v>
      </c>
      <c r="D373" s="2">
        <v>2.4E-2</v>
      </c>
      <c r="E373" s="2">
        <v>4404</v>
      </c>
      <c r="F373" s="2">
        <v>1.04</v>
      </c>
      <c r="G373" s="2">
        <v>-0.51429999999999998</v>
      </c>
      <c r="H373" s="2">
        <v>7.2009999999999996</v>
      </c>
      <c r="I373" s="2">
        <v>22391</v>
      </c>
      <c r="J373" s="2">
        <v>0.98250000000000004</v>
      </c>
      <c r="K373" s="2">
        <v>761</v>
      </c>
      <c r="L373" s="2">
        <v>8.7680000000000008E-2</v>
      </c>
      <c r="M373" s="2">
        <v>0.246</v>
      </c>
      <c r="N373">
        <f t="shared" si="69"/>
        <v>1.0400000000000001E-3</v>
      </c>
      <c r="O373" s="7">
        <f t="shared" si="65"/>
        <v>5348561575.5097685</v>
      </c>
      <c r="P373" s="7">
        <f t="shared" si="70"/>
        <v>1.6878776677530707E+17</v>
      </c>
      <c r="Q373">
        <f t="shared" si="71"/>
        <v>72419360000</v>
      </c>
      <c r="R373">
        <f t="shared" si="72"/>
        <v>52991474000000</v>
      </c>
      <c r="S373" s="1">
        <f t="shared" si="73"/>
        <v>1.9890000000000001E+33</v>
      </c>
      <c r="T373" s="1">
        <f t="shared" si="74"/>
        <v>1.9541925000000002E+33</v>
      </c>
      <c r="U373" s="8">
        <f t="shared" si="66"/>
        <v>3.7225359557863345E-17</v>
      </c>
      <c r="V373" s="11">
        <f t="shared" si="67"/>
        <v>2.5661335524025207E+54</v>
      </c>
      <c r="W373" s="1">
        <f t="shared" si="68"/>
        <v>9.1462841412460577E+53</v>
      </c>
      <c r="X373">
        <f t="shared" si="75"/>
        <v>54.40927925514184</v>
      </c>
      <c r="Y373">
        <f t="shared" si="76"/>
        <v>53.961244689178756</v>
      </c>
      <c r="AA373" s="10">
        <f t="shared" si="77"/>
        <v>5348.5615755097688</v>
      </c>
    </row>
    <row r="374" spans="1:27" x14ac:dyDescent="0.25">
      <c r="A374" s="2">
        <v>1</v>
      </c>
      <c r="B374" s="2">
        <v>9.7308020000000006</v>
      </c>
      <c r="C374" s="6">
        <v>3.7591388162811663</v>
      </c>
      <c r="D374" s="2">
        <v>2.5999999999999999E-2</v>
      </c>
      <c r="E374" s="2">
        <v>4402</v>
      </c>
      <c r="F374" s="2">
        <v>1.0409999999999999</v>
      </c>
      <c r="G374" s="2">
        <v>-0.51429999999999998</v>
      </c>
      <c r="H374" s="2">
        <v>7.202</v>
      </c>
      <c r="I374" s="2">
        <v>22423</v>
      </c>
      <c r="J374" s="2">
        <v>0.98250000000000004</v>
      </c>
      <c r="K374" s="2">
        <v>761.6</v>
      </c>
      <c r="L374" s="2">
        <v>8.7650000000000006E-2</v>
      </c>
      <c r="M374" s="2">
        <v>0.2457</v>
      </c>
      <c r="N374">
        <f t="shared" si="69"/>
        <v>1.0409999999999998E-3</v>
      </c>
      <c r="O374" s="7">
        <f t="shared" si="65"/>
        <v>5380244348.7749624</v>
      </c>
      <c r="P374" s="7">
        <f t="shared" si="70"/>
        <v>1.6978759906090077E+17</v>
      </c>
      <c r="Q374">
        <f t="shared" si="71"/>
        <v>72488993999.999985</v>
      </c>
      <c r="R374">
        <f t="shared" si="72"/>
        <v>53033254400000.008</v>
      </c>
      <c r="S374" s="1">
        <f t="shared" si="73"/>
        <v>1.9890000000000001E+33</v>
      </c>
      <c r="T374" s="1">
        <f t="shared" si="74"/>
        <v>1.9541925000000002E+33</v>
      </c>
      <c r="U374" s="8">
        <f t="shared" si="66"/>
        <v>3.7006149694866013E-17</v>
      </c>
      <c r="V374" s="11">
        <f t="shared" si="67"/>
        <v>2.5679353449617469E+54</v>
      </c>
      <c r="W374" s="1">
        <f t="shared" si="68"/>
        <v>9.1607461532721675E+53</v>
      </c>
      <c r="X374">
        <f t="shared" si="75"/>
        <v>54.409584084942054</v>
      </c>
      <c r="Y374">
        <f t="shared" si="76"/>
        <v>53.961930848891789</v>
      </c>
      <c r="AA374" s="10">
        <f t="shared" si="77"/>
        <v>5380.2443487749624</v>
      </c>
    </row>
    <row r="375" spans="1:27" x14ac:dyDescent="0.25">
      <c r="A375" s="2">
        <v>1</v>
      </c>
      <c r="B375" s="2">
        <v>9.7333529999999993</v>
      </c>
      <c r="C375" s="6">
        <v>3.7592144312342439</v>
      </c>
      <c r="D375" s="2">
        <v>2.7E-2</v>
      </c>
      <c r="E375" s="2">
        <v>4401</v>
      </c>
      <c r="F375" s="2">
        <v>1.0429999999999999</v>
      </c>
      <c r="G375" s="2">
        <v>-0.51429999999999998</v>
      </c>
      <c r="H375" s="2">
        <v>7.202</v>
      </c>
      <c r="I375" s="2">
        <v>22454</v>
      </c>
      <c r="J375" s="2">
        <v>0.98250000000000004</v>
      </c>
      <c r="K375" s="2">
        <v>762.2</v>
      </c>
      <c r="L375" s="2">
        <v>8.763E-2</v>
      </c>
      <c r="M375" s="2">
        <v>0.24540000000000001</v>
      </c>
      <c r="N375">
        <f t="shared" si="69"/>
        <v>1.0429999999999999E-3</v>
      </c>
      <c r="O375" s="7">
        <f t="shared" si="65"/>
        <v>5411940335.1608</v>
      </c>
      <c r="P375" s="7">
        <f t="shared" si="70"/>
        <v>1.7078784832087046E+17</v>
      </c>
      <c r="Q375">
        <f t="shared" si="71"/>
        <v>72628261999.999985</v>
      </c>
      <c r="R375">
        <f t="shared" si="72"/>
        <v>53075034800000</v>
      </c>
      <c r="S375" s="1">
        <f t="shared" si="73"/>
        <v>1.9890000000000001E+33</v>
      </c>
      <c r="T375" s="1">
        <f t="shared" si="74"/>
        <v>1.9541925000000002E+33</v>
      </c>
      <c r="U375" s="8">
        <f t="shared" si="66"/>
        <v>3.6789416629776544E-17</v>
      </c>
      <c r="V375" s="11">
        <f t="shared" si="67"/>
        <v>2.574664498639412E+54</v>
      </c>
      <c r="W375" s="1">
        <f t="shared" si="68"/>
        <v>9.1938814187356002E+53</v>
      </c>
      <c r="X375">
        <f t="shared" si="75"/>
        <v>54.41072064468495</v>
      </c>
      <c r="Y375">
        <f t="shared" si="76"/>
        <v>53.963498897987172</v>
      </c>
      <c r="AA375" s="10">
        <f t="shared" si="77"/>
        <v>5411.9403351607998</v>
      </c>
    </row>
    <row r="376" spans="1:27" x14ac:dyDescent="0.25">
      <c r="A376" s="2">
        <v>1</v>
      </c>
      <c r="B376" s="2">
        <v>9.7358890000000002</v>
      </c>
      <c r="C376" s="6">
        <v>3.7592900330243042</v>
      </c>
      <c r="D376" s="2">
        <v>2.8000000000000001E-2</v>
      </c>
      <c r="E376" s="2">
        <v>4400</v>
      </c>
      <c r="F376" s="2">
        <v>1.044</v>
      </c>
      <c r="G376" s="2">
        <v>-0.51429999999999998</v>
      </c>
      <c r="H376" s="2">
        <v>7.2030000000000003</v>
      </c>
      <c r="I376" s="2">
        <v>22486</v>
      </c>
      <c r="J376" s="2">
        <v>0.98250000000000004</v>
      </c>
      <c r="K376" s="2">
        <v>762.8</v>
      </c>
      <c r="L376" s="2">
        <v>8.7599999999999997E-2</v>
      </c>
      <c r="M376" s="2">
        <v>0.24509999999999998</v>
      </c>
      <c r="N376">
        <f t="shared" si="69"/>
        <v>1.044E-3</v>
      </c>
      <c r="O376" s="7">
        <f t="shared" si="65"/>
        <v>5443635028.5588102</v>
      </c>
      <c r="P376" s="7">
        <f t="shared" si="70"/>
        <v>1.7178805677724752E+17</v>
      </c>
      <c r="Q376">
        <f t="shared" si="71"/>
        <v>72697896000</v>
      </c>
      <c r="R376">
        <f t="shared" si="72"/>
        <v>53116815200000</v>
      </c>
      <c r="S376" s="1">
        <f t="shared" si="73"/>
        <v>1.9890000000000001E+33</v>
      </c>
      <c r="T376" s="1">
        <f t="shared" si="74"/>
        <v>1.9541925000000002E+33</v>
      </c>
      <c r="U376" s="8">
        <f t="shared" si="66"/>
        <v>3.6575216141636704E-17</v>
      </c>
      <c r="V376" s="11">
        <f t="shared" si="67"/>
        <v>2.5764503518159959E+54</v>
      </c>
      <c r="W376" s="1">
        <f t="shared" si="68"/>
        <v>9.2083660064904639E+53</v>
      </c>
      <c r="X376">
        <f t="shared" si="75"/>
        <v>54.411021778025464</v>
      </c>
      <c r="Y376">
        <f t="shared" si="76"/>
        <v>53.964182572941468</v>
      </c>
      <c r="AA376" s="10">
        <f t="shared" si="77"/>
        <v>5443.6350285588105</v>
      </c>
    </row>
    <row r="377" spans="1:27" x14ac:dyDescent="0.25">
      <c r="A377" s="2">
        <v>1</v>
      </c>
      <c r="B377" s="2">
        <v>9.73841</v>
      </c>
      <c r="C377" s="6">
        <v>3.7593656216559288</v>
      </c>
      <c r="D377" s="2">
        <v>0.03</v>
      </c>
      <c r="E377" s="2">
        <v>4399</v>
      </c>
      <c r="F377" s="2">
        <v>1.0449999999999999</v>
      </c>
      <c r="G377" s="2">
        <v>-0.51429999999999998</v>
      </c>
      <c r="H377" s="2">
        <v>7.2039999999999997</v>
      </c>
      <c r="I377" s="2">
        <v>22517</v>
      </c>
      <c r="J377" s="2">
        <v>0.98250000000000004</v>
      </c>
      <c r="K377" s="2">
        <v>763.4</v>
      </c>
      <c r="L377" s="2">
        <v>8.7580000000000005E-2</v>
      </c>
      <c r="M377" s="2">
        <v>0.24490000000000001</v>
      </c>
      <c r="N377">
        <f t="shared" si="69"/>
        <v>1.0449999999999999E-3</v>
      </c>
      <c r="O377" s="7">
        <f t="shared" si="65"/>
        <v>5475326225.6316776</v>
      </c>
      <c r="P377" s="7">
        <f t="shared" si="70"/>
        <v>1.7278815489799424E+17</v>
      </c>
      <c r="Q377">
        <f t="shared" si="71"/>
        <v>72767530000</v>
      </c>
      <c r="R377">
        <f t="shared" si="72"/>
        <v>53158595600000</v>
      </c>
      <c r="S377" s="1">
        <f t="shared" si="73"/>
        <v>1.9890000000000001E+33</v>
      </c>
      <c r="T377" s="1">
        <f t="shared" si="74"/>
        <v>1.9541925000000002E+33</v>
      </c>
      <c r="U377" s="8">
        <f t="shared" si="66"/>
        <v>3.6363518731297725E-17</v>
      </c>
      <c r="V377" s="11">
        <f t="shared" si="67"/>
        <v>2.5792820481946447E+54</v>
      </c>
      <c r="W377" s="1">
        <f t="shared" si="68"/>
        <v>9.223908606814494E+53</v>
      </c>
      <c r="X377">
        <f t="shared" si="75"/>
        <v>54.41149883545976</v>
      </c>
      <c r="Y377">
        <f t="shared" si="76"/>
        <v>53.964914991191151</v>
      </c>
      <c r="AA377" s="10">
        <f t="shared" si="77"/>
        <v>5475.3262256316775</v>
      </c>
    </row>
    <row r="378" spans="1:27" x14ac:dyDescent="0.25">
      <c r="A378" s="2">
        <v>1</v>
      </c>
      <c r="B378" s="2">
        <v>9.7409149999999993</v>
      </c>
      <c r="C378" s="6">
        <v>3.7595167594621879</v>
      </c>
      <c r="D378" s="2">
        <v>3.1E-2</v>
      </c>
      <c r="E378" s="2">
        <v>4398</v>
      </c>
      <c r="F378" s="2">
        <v>1.0469999999999999</v>
      </c>
      <c r="G378" s="2">
        <v>-0.51429999999999998</v>
      </c>
      <c r="H378" s="2">
        <v>7.2039999999999997</v>
      </c>
      <c r="I378" s="2">
        <v>22549</v>
      </c>
      <c r="J378" s="2">
        <v>0.98250000000000004</v>
      </c>
      <c r="K378" s="2">
        <v>764</v>
      </c>
      <c r="L378" s="2">
        <v>8.7550000000000003E-2</v>
      </c>
      <c r="M378" s="2">
        <v>0.24459999999999998</v>
      </c>
      <c r="N378">
        <f t="shared" si="69"/>
        <v>1.047E-3</v>
      </c>
      <c r="O378" s="7">
        <f t="shared" si="65"/>
        <v>5506999030.1917191</v>
      </c>
      <c r="P378" s="7">
        <f t="shared" si="70"/>
        <v>1.7378767259517821E+17</v>
      </c>
      <c r="Q378">
        <f t="shared" si="71"/>
        <v>72906798000</v>
      </c>
      <c r="R378">
        <f t="shared" si="72"/>
        <v>53200376000000</v>
      </c>
      <c r="S378" s="1">
        <f t="shared" si="73"/>
        <v>1.9890000000000001E+33</v>
      </c>
      <c r="T378" s="1">
        <f t="shared" si="74"/>
        <v>1.9541925000000002E+33</v>
      </c>
      <c r="U378" s="8">
        <f t="shared" si="66"/>
        <v>3.6154378577907917E-17</v>
      </c>
      <c r="V378" s="11">
        <f t="shared" si="67"/>
        <v>2.5859926459503583E+54</v>
      </c>
      <c r="W378" s="1">
        <f t="shared" si="68"/>
        <v>9.2560775205623022E+53</v>
      </c>
      <c r="X378">
        <f t="shared" si="75"/>
        <v>54.41262728549885</v>
      </c>
      <c r="Y378">
        <f t="shared" si="76"/>
        <v>53.966426983218049</v>
      </c>
      <c r="AA378" s="10">
        <f t="shared" si="77"/>
        <v>5506.9990301917187</v>
      </c>
    </row>
    <row r="379" spans="1:27" x14ac:dyDescent="0.25">
      <c r="A379" s="2">
        <v>1</v>
      </c>
      <c r="B379" s="2">
        <v>9.7434069999999995</v>
      </c>
      <c r="C379" s="6">
        <v>3.759592308645975</v>
      </c>
      <c r="D379" s="2">
        <v>3.3000000000000002E-2</v>
      </c>
      <c r="E379" s="2">
        <v>4397</v>
      </c>
      <c r="F379" s="2">
        <v>1.048</v>
      </c>
      <c r="G379" s="2">
        <v>-0.51429999999999998</v>
      </c>
      <c r="H379" s="2">
        <v>7.2050000000000001</v>
      </c>
      <c r="I379" s="2">
        <v>22581</v>
      </c>
      <c r="J379" s="2">
        <v>0.98329999999999995</v>
      </c>
      <c r="K379" s="2">
        <v>770.3</v>
      </c>
      <c r="L379" s="2">
        <v>8.5809999999999997E-2</v>
      </c>
      <c r="M379" s="2">
        <v>0.24490000000000001</v>
      </c>
      <c r="N379">
        <f t="shared" si="69"/>
        <v>1.0480000000000001E-3</v>
      </c>
      <c r="O379" s="7">
        <f t="shared" si="65"/>
        <v>5538689255.1773214</v>
      </c>
      <c r="P379" s="7">
        <f t="shared" si="70"/>
        <v>1.7478774003918384E+17</v>
      </c>
      <c r="Q379">
        <f t="shared" si="71"/>
        <v>72976432000</v>
      </c>
      <c r="R379">
        <f t="shared" si="72"/>
        <v>53639070200000</v>
      </c>
      <c r="S379" s="1">
        <f t="shared" si="73"/>
        <v>1.9890000000000001E+33</v>
      </c>
      <c r="T379" s="1">
        <f t="shared" si="74"/>
        <v>1.9557836999999998E+33</v>
      </c>
      <c r="U379" s="8">
        <f t="shared" si="66"/>
        <v>3.5947517290234571E-17</v>
      </c>
      <c r="V379" s="11">
        <f t="shared" si="67"/>
        <v>2.5941125804449265E+54</v>
      </c>
      <c r="W379" s="1">
        <f t="shared" si="68"/>
        <v>9.0894569427512919E+53</v>
      </c>
      <c r="X379">
        <f t="shared" si="75"/>
        <v>54.413988819861032</v>
      </c>
      <c r="Y379">
        <f t="shared" si="76"/>
        <v>53.958537936708019</v>
      </c>
      <c r="AA379" s="10">
        <f t="shared" si="77"/>
        <v>5538.6892551773217</v>
      </c>
    </row>
    <row r="380" spans="1:27" x14ac:dyDescent="0.25">
      <c r="A380" s="2">
        <v>1</v>
      </c>
      <c r="B380" s="2">
        <v>9.7458849999999995</v>
      </c>
      <c r="C380" s="6">
        <v>3.7596678446896306</v>
      </c>
      <c r="D380" s="2">
        <v>3.4000000000000002E-2</v>
      </c>
      <c r="E380" s="2">
        <v>4396</v>
      </c>
      <c r="F380" s="2">
        <v>1.0489999999999999</v>
      </c>
      <c r="G380" s="2">
        <v>-0.51429999999999998</v>
      </c>
      <c r="H380" s="2">
        <v>7.2050000000000001</v>
      </c>
      <c r="I380" s="2">
        <v>22614</v>
      </c>
      <c r="J380" s="2">
        <v>0.98329999999999995</v>
      </c>
      <c r="K380" s="2">
        <v>771</v>
      </c>
      <c r="L380" s="2">
        <v>8.5790000000000005E-2</v>
      </c>
      <c r="M380" s="2">
        <v>0.24459999999999998</v>
      </c>
      <c r="N380">
        <f t="shared" si="69"/>
        <v>1.049E-3</v>
      </c>
      <c r="O380" s="7">
        <f t="shared" si="65"/>
        <v>5570382271.9052515</v>
      </c>
      <c r="P380" s="7">
        <f t="shared" si="70"/>
        <v>1.7578789558387715E+17</v>
      </c>
      <c r="Q380">
        <f t="shared" si="71"/>
        <v>73046066000</v>
      </c>
      <c r="R380">
        <f t="shared" si="72"/>
        <v>53687814000000</v>
      </c>
      <c r="S380" s="1">
        <f t="shared" si="73"/>
        <v>1.9890000000000001E+33</v>
      </c>
      <c r="T380" s="1">
        <f t="shared" si="74"/>
        <v>1.9557836999999998E+33</v>
      </c>
      <c r="U380" s="8">
        <f t="shared" si="66"/>
        <v>3.5742991781715515E-17</v>
      </c>
      <c r="V380" s="11">
        <f t="shared" si="67"/>
        <v>2.5958817101450733E+54</v>
      </c>
      <c r="W380" s="1">
        <f t="shared" si="68"/>
        <v>9.1046889580272232E+53</v>
      </c>
      <c r="X380">
        <f t="shared" si="75"/>
        <v>54.414284898528287</v>
      </c>
      <c r="Y380">
        <f t="shared" si="76"/>
        <v>53.959265113654297</v>
      </c>
      <c r="AA380" s="10">
        <f t="shared" si="77"/>
        <v>5570.3822719052514</v>
      </c>
    </row>
    <row r="381" spans="1:27" x14ac:dyDescent="0.25">
      <c r="A381" s="2">
        <v>1</v>
      </c>
      <c r="B381" s="2">
        <v>9.7483489999999993</v>
      </c>
      <c r="C381" s="6">
        <v>3.759743367597725</v>
      </c>
      <c r="D381" s="2">
        <v>3.5999999999999997E-2</v>
      </c>
      <c r="E381" s="2">
        <v>4395</v>
      </c>
      <c r="F381" s="2">
        <v>1.0509999999999999</v>
      </c>
      <c r="G381" s="2">
        <v>-0.51429999999999998</v>
      </c>
      <c r="H381" s="2">
        <v>7.2060000000000004</v>
      </c>
      <c r="I381" s="2">
        <v>22646</v>
      </c>
      <c r="J381" s="2">
        <v>0.98329999999999995</v>
      </c>
      <c r="K381" s="2">
        <v>771.6</v>
      </c>
      <c r="L381" s="2">
        <v>8.5760000000000003E-2</v>
      </c>
      <c r="M381" s="2">
        <v>0.24430000000000002</v>
      </c>
      <c r="N381">
        <f t="shared" si="69"/>
        <v>1.0509999999999999E-3</v>
      </c>
      <c r="O381" s="7">
        <f t="shared" si="65"/>
        <v>5602076047.2128792</v>
      </c>
      <c r="P381" s="7">
        <f t="shared" si="70"/>
        <v>1.7678807506752515E+17</v>
      </c>
      <c r="Q381">
        <f t="shared" si="71"/>
        <v>73185334000</v>
      </c>
      <c r="R381">
        <f t="shared" si="72"/>
        <v>53729594400000.008</v>
      </c>
      <c r="S381" s="1">
        <f t="shared" si="73"/>
        <v>1.9890000000000001E+33</v>
      </c>
      <c r="T381" s="1">
        <f t="shared" si="74"/>
        <v>1.9557836999999998E+33</v>
      </c>
      <c r="U381" s="8">
        <f t="shared" si="66"/>
        <v>3.5540775613851161E-17</v>
      </c>
      <c r="V381" s="11">
        <f t="shared" si="67"/>
        <v>2.6025936658393583E+54</v>
      </c>
      <c r="W381" s="1">
        <f t="shared" si="68"/>
        <v>9.1362436669006695E+53</v>
      </c>
      <c r="X381">
        <f t="shared" si="75"/>
        <v>54.415406368470826</v>
      </c>
      <c r="Y381">
        <f t="shared" si="76"/>
        <v>53.960767673846078</v>
      </c>
      <c r="AA381" s="10">
        <f t="shared" si="77"/>
        <v>5602.0760472128795</v>
      </c>
    </row>
    <row r="382" spans="1:27" x14ac:dyDescent="0.25">
      <c r="A382" s="2">
        <v>1</v>
      </c>
      <c r="B382" s="2">
        <v>9.7507979999999996</v>
      </c>
      <c r="C382" s="6">
        <v>3.7598188773748262</v>
      </c>
      <c r="D382" s="2">
        <v>3.6999999999999998E-2</v>
      </c>
      <c r="E382" s="2">
        <v>4394</v>
      </c>
      <c r="F382" s="2">
        <v>1.052</v>
      </c>
      <c r="G382" s="2">
        <v>-0.51429999999999998</v>
      </c>
      <c r="H382" s="2">
        <v>7.2069999999999999</v>
      </c>
      <c r="I382" s="2">
        <v>22679</v>
      </c>
      <c r="J382" s="2">
        <v>0.98329999999999995</v>
      </c>
      <c r="K382" s="2">
        <v>772.2</v>
      </c>
      <c r="L382" s="2">
        <v>8.5739999999999997E-2</v>
      </c>
      <c r="M382" s="2">
        <v>0.24399999999999999</v>
      </c>
      <c r="N382">
        <f t="shared" si="69"/>
        <v>1.052E-3</v>
      </c>
      <c r="O382" s="7">
        <f t="shared" si="65"/>
        <v>5633755564.0465012</v>
      </c>
      <c r="P382" s="7">
        <f t="shared" si="70"/>
        <v>1.7778780458795386E+17</v>
      </c>
      <c r="Q382">
        <f t="shared" si="71"/>
        <v>73254968000</v>
      </c>
      <c r="R382">
        <f t="shared" si="72"/>
        <v>53771374800000</v>
      </c>
      <c r="S382" s="1">
        <f t="shared" si="73"/>
        <v>1.9890000000000001E+33</v>
      </c>
      <c r="T382" s="1">
        <f t="shared" si="74"/>
        <v>1.9557836999999998E+33</v>
      </c>
      <c r="U382" s="8">
        <f t="shared" si="66"/>
        <v>3.5340924096237521E-17</v>
      </c>
      <c r="V382" s="11">
        <f t="shared" si="67"/>
        <v>2.6043465610366879E+54</v>
      </c>
      <c r="W382" s="1">
        <f t="shared" si="68"/>
        <v>9.1515030386592478E+53</v>
      </c>
      <c r="X382">
        <f t="shared" si="75"/>
        <v>54.415698775415073</v>
      </c>
      <c r="Y382">
        <f t="shared" si="76"/>
        <v>53.961492428250956</v>
      </c>
      <c r="AA382" s="10">
        <f t="shared" si="77"/>
        <v>5633.7555640465016</v>
      </c>
    </row>
    <row r="383" spans="1:27" x14ac:dyDescent="0.25">
      <c r="A383" s="2">
        <v>1</v>
      </c>
      <c r="B383" s="2">
        <v>9.7532340000000008</v>
      </c>
      <c r="C383" s="6">
        <v>3.7598943740254991</v>
      </c>
      <c r="D383" s="2">
        <v>3.7999999999999999E-2</v>
      </c>
      <c r="E383" s="2">
        <v>4392</v>
      </c>
      <c r="F383" s="2">
        <v>1.0529999999999999</v>
      </c>
      <c r="G383" s="2">
        <v>-0.51429999999999998</v>
      </c>
      <c r="H383" s="2">
        <v>7.2069999999999999</v>
      </c>
      <c r="I383" s="2">
        <v>22713</v>
      </c>
      <c r="J383" s="2">
        <v>0.98329999999999995</v>
      </c>
      <c r="K383" s="2">
        <v>772.9</v>
      </c>
      <c r="L383" s="2">
        <v>8.5709999999999995E-2</v>
      </c>
      <c r="M383" s="2">
        <v>0.2437</v>
      </c>
      <c r="N383">
        <f t="shared" si="69"/>
        <v>1.0529999999999999E-3</v>
      </c>
      <c r="O383" s="7">
        <f t="shared" si="65"/>
        <v>5665444637.5585632</v>
      </c>
      <c r="P383" s="7">
        <f t="shared" si="70"/>
        <v>1.7878783569421811E+17</v>
      </c>
      <c r="Q383">
        <f t="shared" si="71"/>
        <v>73324602000</v>
      </c>
      <c r="R383">
        <f t="shared" si="72"/>
        <v>53820118600000</v>
      </c>
      <c r="S383" s="1">
        <f t="shared" si="73"/>
        <v>1.9890000000000001E+33</v>
      </c>
      <c r="T383" s="1">
        <f t="shared" si="74"/>
        <v>1.9557836999999998E+33</v>
      </c>
      <c r="U383" s="8">
        <f t="shared" si="66"/>
        <v>3.5143248324375685E-17</v>
      </c>
      <c r="V383" s="11">
        <f t="shared" si="67"/>
        <v>2.6060919875718769E+54</v>
      </c>
      <c r="W383" s="1">
        <f t="shared" si="68"/>
        <v>9.1657014466469245E+53</v>
      </c>
      <c r="X383">
        <f t="shared" si="75"/>
        <v>54.415989740996601</v>
      </c>
      <c r="Y383">
        <f t="shared" si="76"/>
        <v>53.962165706914277</v>
      </c>
      <c r="AA383" s="10">
        <f t="shared" si="77"/>
        <v>5665.444637558563</v>
      </c>
    </row>
    <row r="384" spans="1:27" x14ac:dyDescent="0.25">
      <c r="A384" s="2">
        <v>1</v>
      </c>
      <c r="B384" s="2">
        <v>9.7556560000000001</v>
      </c>
      <c r="C384" s="6">
        <v>3.759969857554307</v>
      </c>
      <c r="D384" s="2">
        <v>0.04</v>
      </c>
      <c r="E384" s="2">
        <v>4391</v>
      </c>
      <c r="F384" s="2">
        <v>1.0549999999999999</v>
      </c>
      <c r="G384" s="2">
        <v>-0.51429999999999998</v>
      </c>
      <c r="H384" s="2">
        <v>7.2080000000000002</v>
      </c>
      <c r="I384" s="2">
        <v>22746</v>
      </c>
      <c r="J384" s="2">
        <v>0.98329999999999995</v>
      </c>
      <c r="K384" s="2">
        <v>773.5</v>
      </c>
      <c r="L384" s="2">
        <v>8.5680000000000006E-2</v>
      </c>
      <c r="M384" s="2">
        <v>0.24340000000000001</v>
      </c>
      <c r="N384">
        <f t="shared" si="69"/>
        <v>1.0549999999999999E-3</v>
      </c>
      <c r="O384" s="7">
        <f t="shared" si="65"/>
        <v>5697128300.9226446</v>
      </c>
      <c r="P384" s="7">
        <f t="shared" si="70"/>
        <v>1.7978769606919645E+17</v>
      </c>
      <c r="Q384">
        <f t="shared" si="71"/>
        <v>73463870000</v>
      </c>
      <c r="R384">
        <f t="shared" si="72"/>
        <v>53861899000000</v>
      </c>
      <c r="S384" s="1">
        <f t="shared" si="73"/>
        <v>1.9890000000000001E+33</v>
      </c>
      <c r="T384" s="1">
        <f t="shared" si="74"/>
        <v>1.9557836999999998E+33</v>
      </c>
      <c r="U384" s="8">
        <f t="shared" si="66"/>
        <v>3.4947804797283357E-17</v>
      </c>
      <c r="V384" s="11">
        <f t="shared" si="67"/>
        <v>2.612780719430373E+54</v>
      </c>
      <c r="W384" s="1">
        <f t="shared" si="68"/>
        <v>9.1973316368444673E+53</v>
      </c>
      <c r="X384">
        <f t="shared" si="75"/>
        <v>54.417102962602371</v>
      </c>
      <c r="Y384">
        <f t="shared" si="76"/>
        <v>53.963661846532126</v>
      </c>
      <c r="AA384" s="10">
        <f t="shared" si="77"/>
        <v>5697.1283009226445</v>
      </c>
    </row>
    <row r="385" spans="1:27" x14ac:dyDescent="0.25">
      <c r="A385" s="2">
        <v>1</v>
      </c>
      <c r="B385" s="2">
        <v>9.7580650000000002</v>
      </c>
      <c r="C385" s="6">
        <v>3.7600453279658108</v>
      </c>
      <c r="D385" s="2">
        <v>4.1000000000000002E-2</v>
      </c>
      <c r="E385" s="2">
        <v>4390</v>
      </c>
      <c r="F385" s="2">
        <v>1.056</v>
      </c>
      <c r="G385" s="2">
        <v>-0.51429999999999998</v>
      </c>
      <c r="H385" s="2">
        <v>7.2089999999999996</v>
      </c>
      <c r="I385" s="2">
        <v>22780</v>
      </c>
      <c r="J385" s="2">
        <v>0.98329999999999995</v>
      </c>
      <c r="K385" s="2">
        <v>774.2</v>
      </c>
      <c r="L385" s="2">
        <v>8.566E-2</v>
      </c>
      <c r="M385" s="2">
        <v>0.24309999999999998</v>
      </c>
      <c r="N385">
        <f t="shared" si="69"/>
        <v>1.0560000000000001E-3</v>
      </c>
      <c r="O385" s="7">
        <f t="shared" si="65"/>
        <v>5728817666.5576296</v>
      </c>
      <c r="P385" s="7">
        <f t="shared" si="70"/>
        <v>1.8078773639415904E+17</v>
      </c>
      <c r="Q385">
        <f t="shared" si="71"/>
        <v>73533504000</v>
      </c>
      <c r="R385">
        <f t="shared" si="72"/>
        <v>53910642800000.008</v>
      </c>
      <c r="S385" s="1">
        <f t="shared" si="73"/>
        <v>1.9890000000000001E+33</v>
      </c>
      <c r="T385" s="1">
        <f t="shared" si="74"/>
        <v>1.9557836999999998E+33</v>
      </c>
      <c r="U385" s="8">
        <f t="shared" si="66"/>
        <v>3.4754488509556814E-17</v>
      </c>
      <c r="V385" s="11">
        <f t="shared" si="67"/>
        <v>2.6145097436493129E+54</v>
      </c>
      <c r="W385" s="1">
        <f t="shared" si="68"/>
        <v>9.212624625298238E+53</v>
      </c>
      <c r="X385">
        <f t="shared" si="75"/>
        <v>54.417390264679824</v>
      </c>
      <c r="Y385">
        <f t="shared" si="76"/>
        <v>53.964383375897036</v>
      </c>
      <c r="AA385" s="10">
        <f t="shared" si="77"/>
        <v>5728.8176665576293</v>
      </c>
    </row>
    <row r="386" spans="1:27" x14ac:dyDescent="0.25">
      <c r="A386" s="2">
        <v>1</v>
      </c>
      <c r="B386" s="2">
        <v>9.7604609999999994</v>
      </c>
      <c r="C386" s="6">
        <v>3.7601207852645677</v>
      </c>
      <c r="D386" s="2">
        <v>4.2999999999999997E-2</v>
      </c>
      <c r="E386" s="2">
        <v>4389</v>
      </c>
      <c r="F386" s="2">
        <v>1.0580000000000001</v>
      </c>
      <c r="G386" s="2">
        <v>-0.51429999999999998</v>
      </c>
      <c r="H386" s="2">
        <v>7.2089999999999996</v>
      </c>
      <c r="I386" s="2">
        <v>22814</v>
      </c>
      <c r="J386" s="2">
        <v>0.98329999999999995</v>
      </c>
      <c r="K386" s="2">
        <v>774.9</v>
      </c>
      <c r="L386" s="2">
        <v>8.5629999999999998E-2</v>
      </c>
      <c r="M386" s="2">
        <v>0.24280000000000002</v>
      </c>
      <c r="N386">
        <f t="shared" si="69"/>
        <v>1.0580000000000001E-3</v>
      </c>
      <c r="O386" s="7">
        <f t="shared" ref="O386:O425" si="78">10^B386</f>
        <v>5760510863.7796688</v>
      </c>
      <c r="P386" s="7">
        <f t="shared" si="70"/>
        <v>1.8178789763481328E+17</v>
      </c>
      <c r="Q386">
        <f t="shared" si="71"/>
        <v>73672772000</v>
      </c>
      <c r="R386">
        <f t="shared" si="72"/>
        <v>53959386600000</v>
      </c>
      <c r="S386" s="1">
        <f t="shared" si="73"/>
        <v>1.9890000000000001E+33</v>
      </c>
      <c r="T386" s="1">
        <f t="shared" si="74"/>
        <v>1.9557836999999998E+33</v>
      </c>
      <c r="U386" s="8">
        <f t="shared" ref="U386:U425" si="79">(2*PI())/P386</f>
        <v>3.4563276152748275E-17</v>
      </c>
      <c r="V386" s="11">
        <f t="shared" ref="V386:V425" si="80">M386*S386*(Q386^2)</f>
        <v>2.6211838728459457E+54</v>
      </c>
      <c r="W386" s="1">
        <f t="shared" ref="W386:W425" si="81">L386*S386*(Q386^2)</f>
        <v>9.2443152813755498E+53</v>
      </c>
      <c r="X386">
        <f t="shared" si="75"/>
        <v>54.418497487242455</v>
      </c>
      <c r="Y386">
        <f t="shared" si="76"/>
        <v>53.965874748861019</v>
      </c>
      <c r="AA386" s="10">
        <f t="shared" si="77"/>
        <v>5760.5108637796684</v>
      </c>
    </row>
    <row r="387" spans="1:27" x14ac:dyDescent="0.25">
      <c r="A387" s="2">
        <v>1</v>
      </c>
      <c r="B387" s="2">
        <v>9.7628439999999994</v>
      </c>
      <c r="C387" s="6">
        <v>3.7601962294551341</v>
      </c>
      <c r="D387" s="2">
        <v>4.3999999999999997E-2</v>
      </c>
      <c r="E387" s="2">
        <v>4388</v>
      </c>
      <c r="F387" s="2">
        <v>1.0589999999999999</v>
      </c>
      <c r="G387" s="2">
        <v>-0.51429999999999998</v>
      </c>
      <c r="H387" s="2">
        <v>7.21</v>
      </c>
      <c r="I387" s="2">
        <v>22848</v>
      </c>
      <c r="J387" s="2">
        <v>0.98329999999999995</v>
      </c>
      <c r="K387" s="2">
        <v>775.5</v>
      </c>
      <c r="L387" s="2">
        <v>8.5610000000000006E-2</v>
      </c>
      <c r="M387" s="2">
        <v>0.24249999999999999</v>
      </c>
      <c r="N387">
        <f t="shared" ref="N387:N425" si="82">F387/(10^3)</f>
        <v>1.059E-3</v>
      </c>
      <c r="O387" s="7">
        <f t="shared" si="78"/>
        <v>5792206011.1827803</v>
      </c>
      <c r="P387" s="7">
        <f t="shared" ref="P387:P425" si="83">O387*31557600</f>
        <v>1.827881204185017E+17</v>
      </c>
      <c r="Q387">
        <f t="shared" ref="Q387:Q425" si="84">F387*6.9634*(10^10)</f>
        <v>73742406000</v>
      </c>
      <c r="R387">
        <f t="shared" ref="R387:R425" si="85">K387*6.9634*(10^10)</f>
        <v>54001166999999.992</v>
      </c>
      <c r="S387" s="1">
        <f t="shared" ref="S387:S425" si="86">A387*1.989*(10^33)</f>
        <v>1.9890000000000001E+33</v>
      </c>
      <c r="T387" s="1">
        <f t="shared" ref="T387:T425" si="87">J387*1.989*(10^33)</f>
        <v>1.9557836999999998E+33</v>
      </c>
      <c r="U387" s="8">
        <f t="shared" si="79"/>
        <v>3.43741447354125E-17</v>
      </c>
      <c r="V387" s="11">
        <f t="shared" si="80"/>
        <v>2.6228963732285668E+54</v>
      </c>
      <c r="W387" s="1">
        <f t="shared" si="81"/>
        <v>9.2596354025607265E+53</v>
      </c>
      <c r="X387">
        <f t="shared" ref="X387:X425" si="88">LOG(V387)</f>
        <v>54.418781132594155</v>
      </c>
      <c r="Y387">
        <f t="shared" ref="Y387:Y425" si="89">LOG(W387)</f>
        <v>53.966593886706413</v>
      </c>
      <c r="AA387" s="10">
        <f t="shared" ref="AA387:AA425" si="90">O387/(1*1000000)</f>
        <v>5792.2060111827805</v>
      </c>
    </row>
    <row r="388" spans="1:27" x14ac:dyDescent="0.25">
      <c r="A388" s="2">
        <v>1</v>
      </c>
      <c r="B388" s="2">
        <v>9.765212</v>
      </c>
      <c r="C388" s="6">
        <v>3.7602716605420632</v>
      </c>
      <c r="D388" s="2">
        <v>4.5999999999999999E-2</v>
      </c>
      <c r="E388" s="2">
        <v>4387</v>
      </c>
      <c r="F388" s="2">
        <v>1.06</v>
      </c>
      <c r="G388" s="2">
        <v>-0.51429999999999998</v>
      </c>
      <c r="H388" s="2">
        <v>7.2110000000000003</v>
      </c>
      <c r="I388" s="2">
        <v>22883</v>
      </c>
      <c r="J388" s="2">
        <v>0.98329999999999995</v>
      </c>
      <c r="K388" s="2">
        <v>776.2</v>
      </c>
      <c r="L388" s="2">
        <v>8.5580000000000003E-2</v>
      </c>
      <c r="M388" s="2">
        <v>0.2422</v>
      </c>
      <c r="N388">
        <f t="shared" si="82"/>
        <v>1.06E-3</v>
      </c>
      <c r="O388" s="7">
        <f t="shared" si="78"/>
        <v>5823874396.8107958</v>
      </c>
      <c r="P388" s="7">
        <f t="shared" si="83"/>
        <v>1.8378749866479638E+17</v>
      </c>
      <c r="Q388">
        <f t="shared" si="84"/>
        <v>73812040000</v>
      </c>
      <c r="R388">
        <f t="shared" si="85"/>
        <v>54049910800000.008</v>
      </c>
      <c r="S388" s="1">
        <f t="shared" si="86"/>
        <v>1.9890000000000001E+33</v>
      </c>
      <c r="T388" s="1">
        <f t="shared" si="87"/>
        <v>1.9557836999999998E+33</v>
      </c>
      <c r="U388" s="8">
        <f t="shared" si="79"/>
        <v>3.4187229016263334E-17</v>
      </c>
      <c r="V388" s="11">
        <f t="shared" si="80"/>
        <v>2.6246012950023159E+54</v>
      </c>
      <c r="W388" s="1">
        <f t="shared" si="81"/>
        <v>9.2738802157844027E+53</v>
      </c>
      <c r="X388">
        <f t="shared" si="88"/>
        <v>54.419063338777477</v>
      </c>
      <c r="Y388">
        <f t="shared" si="89"/>
        <v>53.967261482118353</v>
      </c>
      <c r="AA388" s="10">
        <f t="shared" si="90"/>
        <v>5823.8743968107956</v>
      </c>
    </row>
    <row r="389" spans="1:27" x14ac:dyDescent="0.25">
      <c r="A389" s="2">
        <v>1</v>
      </c>
      <c r="B389" s="2">
        <v>9.7675689999999999</v>
      </c>
      <c r="C389" s="6">
        <v>3.7603470785299065</v>
      </c>
      <c r="D389" s="2">
        <v>4.7E-2</v>
      </c>
      <c r="E389" s="2">
        <v>4385</v>
      </c>
      <c r="F389" s="2">
        <v>1.0620000000000001</v>
      </c>
      <c r="G389" s="2">
        <v>-0.51429999999999998</v>
      </c>
      <c r="H389" s="2">
        <v>7.2110000000000003</v>
      </c>
      <c r="I389" s="2">
        <v>22917</v>
      </c>
      <c r="J389" s="2">
        <v>0.98329999999999995</v>
      </c>
      <c r="K389" s="2">
        <v>776.9</v>
      </c>
      <c r="L389" s="2">
        <v>8.5559999999999997E-2</v>
      </c>
      <c r="M389" s="2">
        <v>0.2419</v>
      </c>
      <c r="N389">
        <f t="shared" si="82"/>
        <v>1.062E-3</v>
      </c>
      <c r="O389" s="7">
        <f t="shared" si="78"/>
        <v>5855567612.3515596</v>
      </c>
      <c r="P389" s="7">
        <f t="shared" si="83"/>
        <v>1.8478766048354557E+17</v>
      </c>
      <c r="Q389">
        <f t="shared" si="84"/>
        <v>73951308000</v>
      </c>
      <c r="R389">
        <f t="shared" si="85"/>
        <v>54098654600000</v>
      </c>
      <c r="S389" s="1">
        <f t="shared" si="86"/>
        <v>1.9890000000000001E+33</v>
      </c>
      <c r="T389" s="1">
        <f t="shared" si="87"/>
        <v>1.9557836999999998E+33</v>
      </c>
      <c r="U389" s="8">
        <f t="shared" si="79"/>
        <v>3.4002190897043544E-17</v>
      </c>
      <c r="V389" s="11">
        <f t="shared" si="80"/>
        <v>2.6312515638294536E+54</v>
      </c>
      <c r="W389" s="1">
        <f t="shared" si="81"/>
        <v>9.3067335180342307E+53</v>
      </c>
      <c r="X389">
        <f t="shared" si="88"/>
        <v>54.420162371293685</v>
      </c>
      <c r="Y389">
        <f t="shared" si="89"/>
        <v>53.968797278831296</v>
      </c>
      <c r="AA389" s="10">
        <f t="shared" si="90"/>
        <v>5855.5676123515595</v>
      </c>
    </row>
    <row r="390" spans="1:27" x14ac:dyDescent="0.25">
      <c r="A390" s="2">
        <v>1</v>
      </c>
      <c r="B390" s="2">
        <v>9.7699130000000007</v>
      </c>
      <c r="C390" s="6">
        <v>3.7604224834232118</v>
      </c>
      <c r="D390" s="2">
        <v>4.9000000000000002E-2</v>
      </c>
      <c r="E390" s="2">
        <v>4384</v>
      </c>
      <c r="F390" s="2">
        <v>1.0629999999999999</v>
      </c>
      <c r="G390" s="2">
        <v>-0.51429999999999998</v>
      </c>
      <c r="H390" s="2">
        <v>7.2119999999999997</v>
      </c>
      <c r="I390" s="2">
        <v>22951</v>
      </c>
      <c r="J390" s="2">
        <v>0.98329999999999995</v>
      </c>
      <c r="K390" s="2">
        <v>777.6</v>
      </c>
      <c r="L390" s="2">
        <v>8.5529999999999995E-2</v>
      </c>
      <c r="M390" s="2">
        <v>0.24159999999999998</v>
      </c>
      <c r="N390">
        <f t="shared" si="82"/>
        <v>1.0629999999999999E-3</v>
      </c>
      <c r="O390" s="7">
        <f t="shared" si="78"/>
        <v>5887257071.2177458</v>
      </c>
      <c r="P390" s="7">
        <f t="shared" si="83"/>
        <v>1.8578770375066112E+17</v>
      </c>
      <c r="Q390">
        <f t="shared" si="84"/>
        <v>74020942000</v>
      </c>
      <c r="R390">
        <f t="shared" si="85"/>
        <v>54147398400000</v>
      </c>
      <c r="S390" s="1">
        <f t="shared" si="86"/>
        <v>1.9890000000000001E+33</v>
      </c>
      <c r="T390" s="1">
        <f t="shared" si="87"/>
        <v>1.9557836999999998E+33</v>
      </c>
      <c r="U390" s="8">
        <f t="shared" si="79"/>
        <v>3.3819166609712878E-17</v>
      </c>
      <c r="V390" s="11">
        <f t="shared" si="80"/>
        <v>2.6329397939534523E+54</v>
      </c>
      <c r="W390" s="1">
        <f t="shared" si="81"/>
        <v>9.3209991960612085E+53</v>
      </c>
      <c r="X390">
        <f t="shared" si="88"/>
        <v>54.420440928436591</v>
      </c>
      <c r="Y390">
        <f t="shared" si="89"/>
        <v>53.969462470516618</v>
      </c>
      <c r="AA390" s="10">
        <f t="shared" si="90"/>
        <v>5887.2570712177458</v>
      </c>
    </row>
    <row r="391" spans="1:27" x14ac:dyDescent="0.25">
      <c r="A391" s="2">
        <v>1</v>
      </c>
      <c r="B391" s="2">
        <v>9.7722449999999998</v>
      </c>
      <c r="C391" s="6">
        <v>3.7604978752265268</v>
      </c>
      <c r="D391" s="2">
        <v>0.05</v>
      </c>
      <c r="E391" s="2">
        <v>4383</v>
      </c>
      <c r="F391" s="2">
        <v>1.0649999999999999</v>
      </c>
      <c r="G391" s="2">
        <v>-0.51429999999999998</v>
      </c>
      <c r="H391" s="2">
        <v>7.2130000000000001</v>
      </c>
      <c r="I391" s="2">
        <v>22986</v>
      </c>
      <c r="J391" s="2">
        <v>0.98329999999999995</v>
      </c>
      <c r="K391" s="2">
        <v>778.3</v>
      </c>
      <c r="L391" s="2">
        <v>8.5500000000000007E-2</v>
      </c>
      <c r="M391" s="2">
        <v>0.24130000000000001</v>
      </c>
      <c r="N391">
        <f t="shared" si="82"/>
        <v>1.065E-3</v>
      </c>
      <c r="O391" s="7">
        <f t="shared" si="78"/>
        <v>5918954479.6947546</v>
      </c>
      <c r="P391" s="7">
        <f t="shared" si="83"/>
        <v>1.867879978884152E+17</v>
      </c>
      <c r="Q391">
        <f t="shared" si="84"/>
        <v>74160210000</v>
      </c>
      <c r="R391">
        <f t="shared" si="85"/>
        <v>54196142199999.992</v>
      </c>
      <c r="S391" s="1">
        <f t="shared" si="86"/>
        <v>1.9890000000000001E+33</v>
      </c>
      <c r="T391" s="1">
        <f t="shared" si="87"/>
        <v>1.9557836999999998E+33</v>
      </c>
      <c r="U391" s="8">
        <f t="shared" si="79"/>
        <v>3.3638056931972054E-17</v>
      </c>
      <c r="V391" s="11">
        <f t="shared" si="80"/>
        <v>2.6395750029717931E+54</v>
      </c>
      <c r="W391" s="1">
        <f t="shared" si="81"/>
        <v>9.3528248136795817E+53</v>
      </c>
      <c r="X391">
        <f t="shared" si="88"/>
        <v>54.421534006899201</v>
      </c>
      <c r="Y391">
        <f t="shared" si="89"/>
        <v>53.970942799718586</v>
      </c>
      <c r="AA391" s="10">
        <f t="shared" si="90"/>
        <v>5918.9544796947548</v>
      </c>
    </row>
    <row r="392" spans="1:27" x14ac:dyDescent="0.25">
      <c r="A392" s="2">
        <v>1</v>
      </c>
      <c r="B392" s="2">
        <v>9.7745639999999998</v>
      </c>
      <c r="C392" s="6">
        <v>3.7605732539443943</v>
      </c>
      <c r="D392" s="2">
        <v>5.1999999999999998E-2</v>
      </c>
      <c r="E392" s="2">
        <v>4382</v>
      </c>
      <c r="F392" s="2">
        <v>1.0660000000000001</v>
      </c>
      <c r="G392" s="2">
        <v>-0.51429999999999998</v>
      </c>
      <c r="H392" s="2">
        <v>7.2140000000000004</v>
      </c>
      <c r="I392" s="2">
        <v>23021</v>
      </c>
      <c r="J392" s="2">
        <v>0.98329999999999995</v>
      </c>
      <c r="K392" s="2">
        <v>779</v>
      </c>
      <c r="L392" s="2">
        <v>8.548E-2</v>
      </c>
      <c r="M392" s="2">
        <v>0.24099999999999999</v>
      </c>
      <c r="N392">
        <f t="shared" si="82"/>
        <v>1.0660000000000001E-3</v>
      </c>
      <c r="O392" s="7">
        <f t="shared" si="78"/>
        <v>5950644422.3481874</v>
      </c>
      <c r="P392" s="7">
        <f t="shared" si="83"/>
        <v>1.8778805642269517E+17</v>
      </c>
      <c r="Q392">
        <f t="shared" si="84"/>
        <v>74229844000</v>
      </c>
      <c r="R392">
        <f t="shared" si="85"/>
        <v>54244886000000</v>
      </c>
      <c r="S392" s="1">
        <f t="shared" si="86"/>
        <v>1.9890000000000001E+33</v>
      </c>
      <c r="T392" s="1">
        <f t="shared" si="87"/>
        <v>1.9557836999999998E+33</v>
      </c>
      <c r="U392" s="8">
        <f t="shared" si="79"/>
        <v>3.3458918670720264E-17</v>
      </c>
      <c r="V392" s="11">
        <f t="shared" si="80"/>
        <v>2.6412464199259691E+54</v>
      </c>
      <c r="W392" s="1">
        <f t="shared" si="81"/>
        <v>9.3682051442021529E+53</v>
      </c>
      <c r="X392">
        <f t="shared" si="88"/>
        <v>54.421808921396874</v>
      </c>
      <c r="Y392">
        <f t="shared" si="89"/>
        <v>53.971656392314038</v>
      </c>
      <c r="AA392" s="10">
        <f t="shared" si="90"/>
        <v>5950.6444223481876</v>
      </c>
    </row>
    <row r="393" spans="1:27" x14ac:dyDescent="0.25">
      <c r="A393" s="2">
        <v>1</v>
      </c>
      <c r="B393" s="2">
        <v>9.7768700000000006</v>
      </c>
      <c r="C393" s="6">
        <v>3.7606486195813562</v>
      </c>
      <c r="D393" s="2">
        <v>5.2999999999999999E-2</v>
      </c>
      <c r="E393" s="2">
        <v>4380</v>
      </c>
      <c r="F393" s="2">
        <v>1.0680000000000001</v>
      </c>
      <c r="G393" s="2">
        <v>-0.51429999999999998</v>
      </c>
      <c r="H393" s="2">
        <v>7.2140000000000004</v>
      </c>
      <c r="I393" s="2">
        <v>23056</v>
      </c>
      <c r="J393" s="2">
        <v>0.98329999999999995</v>
      </c>
      <c r="K393" s="2">
        <v>779.7</v>
      </c>
      <c r="L393" s="2">
        <v>8.5449999999999998E-2</v>
      </c>
      <c r="M393" s="2">
        <v>0.2407</v>
      </c>
      <c r="N393">
        <f t="shared" si="82"/>
        <v>1.0680000000000002E-3</v>
      </c>
      <c r="O393" s="7">
        <f t="shared" si="78"/>
        <v>5982324956.96735</v>
      </c>
      <c r="P393" s="7">
        <f t="shared" si="83"/>
        <v>1.8878781806199283E+17</v>
      </c>
      <c r="Q393">
        <f t="shared" si="84"/>
        <v>74369112000.000015</v>
      </c>
      <c r="R393">
        <f t="shared" si="85"/>
        <v>54293629800000.008</v>
      </c>
      <c r="S393" s="1">
        <f t="shared" si="86"/>
        <v>1.9890000000000001E+33</v>
      </c>
      <c r="T393" s="1">
        <f t="shared" si="87"/>
        <v>1.9557836999999998E+33</v>
      </c>
      <c r="U393" s="8">
        <f t="shared" si="79"/>
        <v>3.3281730631138273E-17</v>
      </c>
      <c r="V393" s="11">
        <f t="shared" si="80"/>
        <v>2.6478663781754015E+54</v>
      </c>
      <c r="W393" s="1">
        <f t="shared" si="81"/>
        <v>9.4000906528910708E+53</v>
      </c>
      <c r="X393">
        <f t="shared" si="88"/>
        <v>54.422896065101007</v>
      </c>
      <c r="Y393">
        <f t="shared" si="89"/>
        <v>53.973132041882735</v>
      </c>
      <c r="AA393" s="10">
        <f t="shared" si="90"/>
        <v>5982.3249569673499</v>
      </c>
    </row>
    <row r="394" spans="1:27" x14ac:dyDescent="0.25">
      <c r="A394" s="2">
        <v>1</v>
      </c>
      <c r="B394" s="2">
        <v>9.7791639999999997</v>
      </c>
      <c r="C394" s="6">
        <v>3.7607239721419519</v>
      </c>
      <c r="D394" s="2">
        <v>5.5E-2</v>
      </c>
      <c r="E394" s="2">
        <v>4379</v>
      </c>
      <c r="F394" s="2">
        <v>1.069</v>
      </c>
      <c r="G394" s="2">
        <v>-0.51429999999999998</v>
      </c>
      <c r="H394" s="2">
        <v>7.2149999999999999</v>
      </c>
      <c r="I394" s="2">
        <v>23091</v>
      </c>
      <c r="J394" s="2">
        <v>0.98329999999999995</v>
      </c>
      <c r="K394" s="2">
        <v>780.5</v>
      </c>
      <c r="L394" s="2">
        <v>8.5430000000000006E-2</v>
      </c>
      <c r="M394" s="2">
        <v>0.24030000000000001</v>
      </c>
      <c r="N394">
        <f t="shared" si="82"/>
        <v>1.0689999999999999E-3</v>
      </c>
      <c r="O394" s="7">
        <f t="shared" si="78"/>
        <v>6014007979.5686016</v>
      </c>
      <c r="P394" s="7">
        <f t="shared" si="83"/>
        <v>1.8978765821603411E+17</v>
      </c>
      <c r="Q394">
        <f t="shared" si="84"/>
        <v>74438746000</v>
      </c>
      <c r="R394">
        <f t="shared" si="85"/>
        <v>54349336999999.992</v>
      </c>
      <c r="S394" s="1">
        <f t="shared" si="86"/>
        <v>1.9890000000000001E+33</v>
      </c>
      <c r="T394" s="1">
        <f t="shared" si="87"/>
        <v>1.9557836999999998E+33</v>
      </c>
      <c r="U394" s="8">
        <f t="shared" si="79"/>
        <v>3.3106395675252368E-17</v>
      </c>
      <c r="V394" s="11">
        <f t="shared" si="80"/>
        <v>2.6484187302980707E+54</v>
      </c>
      <c r="W394" s="1">
        <f t="shared" si="81"/>
        <v>9.4154977998070818E+53</v>
      </c>
      <c r="X394">
        <f t="shared" si="88"/>
        <v>54.422986650662359</v>
      </c>
      <c r="Y394">
        <f t="shared" si="89"/>
        <v>53.973843286221417</v>
      </c>
      <c r="AA394" s="10">
        <f t="shared" si="90"/>
        <v>6014.0079795686015</v>
      </c>
    </row>
    <row r="395" spans="1:27" x14ac:dyDescent="0.25">
      <c r="A395" s="2">
        <v>1</v>
      </c>
      <c r="B395" s="2">
        <v>9.781447</v>
      </c>
      <c r="C395" s="6">
        <v>3.7607993116307177</v>
      </c>
      <c r="D395" s="2">
        <v>5.6000000000000001E-2</v>
      </c>
      <c r="E395" s="2">
        <v>4378</v>
      </c>
      <c r="F395" s="2">
        <v>1.071</v>
      </c>
      <c r="G395" s="2">
        <v>-0.51429999999999998</v>
      </c>
      <c r="H395" s="2">
        <v>7.2160000000000002</v>
      </c>
      <c r="I395" s="2">
        <v>23126</v>
      </c>
      <c r="J395" s="2">
        <v>0.98419999999999996</v>
      </c>
      <c r="K395" s="2">
        <v>787.9</v>
      </c>
      <c r="L395" s="2">
        <v>8.3489999999999995E-2</v>
      </c>
      <c r="M395" s="2">
        <v>0.2407</v>
      </c>
      <c r="N395">
        <f t="shared" si="82"/>
        <v>1.0709999999999999E-3</v>
      </c>
      <c r="O395" s="7">
        <f t="shared" si="78"/>
        <v>6045705668.5836382</v>
      </c>
      <c r="P395" s="7">
        <f t="shared" si="83"/>
        <v>1.9078796120689501E+17</v>
      </c>
      <c r="Q395">
        <f t="shared" si="84"/>
        <v>74578014000</v>
      </c>
      <c r="R395">
        <f t="shared" si="85"/>
        <v>54864628600000</v>
      </c>
      <c r="S395" s="1">
        <f t="shared" si="86"/>
        <v>1.9890000000000001E+33</v>
      </c>
      <c r="T395" s="1">
        <f t="shared" si="87"/>
        <v>1.9575738E+33</v>
      </c>
      <c r="U395" s="8">
        <f t="shared" si="79"/>
        <v>3.2932818545956108E-17</v>
      </c>
      <c r="V395" s="11">
        <f t="shared" si="80"/>
        <v>2.6627629247575797E+54</v>
      </c>
      <c r="W395" s="1">
        <f t="shared" si="81"/>
        <v>9.2361477601998487E+53</v>
      </c>
      <c r="X395">
        <f t="shared" si="88"/>
        <v>54.425332501379643</v>
      </c>
      <c r="Y395">
        <f t="shared" si="89"/>
        <v>53.96549087215832</v>
      </c>
      <c r="AA395" s="10">
        <f t="shared" si="90"/>
        <v>6045.7056685836378</v>
      </c>
    </row>
    <row r="396" spans="1:27" x14ac:dyDescent="0.25">
      <c r="A396" s="2">
        <v>1</v>
      </c>
      <c r="B396" s="2">
        <v>9.7837169999999993</v>
      </c>
      <c r="C396" s="6">
        <v>3.7608746380521891</v>
      </c>
      <c r="D396" s="2">
        <v>5.8000000000000003E-2</v>
      </c>
      <c r="E396" s="2">
        <v>4377</v>
      </c>
      <c r="F396" s="2">
        <v>1.073</v>
      </c>
      <c r="G396" s="2">
        <v>-0.51429999999999998</v>
      </c>
      <c r="H396" s="2">
        <v>7.2169999999999996</v>
      </c>
      <c r="I396" s="2">
        <v>23161</v>
      </c>
      <c r="J396" s="2">
        <v>0.98419999999999996</v>
      </c>
      <c r="K396" s="2">
        <v>788.6</v>
      </c>
      <c r="L396" s="2">
        <v>8.3470000000000003E-2</v>
      </c>
      <c r="M396" s="2">
        <v>0.2404</v>
      </c>
      <c r="N396">
        <f t="shared" si="82"/>
        <v>1.073E-3</v>
      </c>
      <c r="O396" s="7">
        <f t="shared" si="78"/>
        <v>6077388503.924118</v>
      </c>
      <c r="P396" s="7">
        <f t="shared" si="83"/>
        <v>1.9178779545143574E+17</v>
      </c>
      <c r="Q396">
        <f t="shared" si="84"/>
        <v>74717282000</v>
      </c>
      <c r="R396">
        <f t="shared" si="85"/>
        <v>54913372400000</v>
      </c>
      <c r="S396" s="1">
        <f t="shared" si="86"/>
        <v>1.9890000000000001E+33</v>
      </c>
      <c r="T396" s="1">
        <f t="shared" si="87"/>
        <v>1.9575738E+33</v>
      </c>
      <c r="U396" s="8">
        <f t="shared" si="79"/>
        <v>3.2761132127255754E-17</v>
      </c>
      <c r="V396" s="11">
        <f t="shared" si="80"/>
        <v>2.669385989484382E+54</v>
      </c>
      <c r="W396" s="1">
        <f t="shared" si="81"/>
        <v>9.2684545982637837E+53</v>
      </c>
      <c r="X396">
        <f t="shared" si="88"/>
        <v>54.426411376703506</v>
      </c>
      <c r="Y396">
        <f t="shared" si="89"/>
        <v>53.967007326874047</v>
      </c>
      <c r="AA396" s="10">
        <f t="shared" si="90"/>
        <v>6077.3885039241177</v>
      </c>
    </row>
    <row r="397" spans="1:27" x14ac:dyDescent="0.25">
      <c r="A397" s="2">
        <v>1</v>
      </c>
      <c r="B397" s="2">
        <v>9.7859759999999998</v>
      </c>
      <c r="C397" s="6">
        <v>3.7608746380521891</v>
      </c>
      <c r="D397" s="2">
        <v>5.8999999999999997E-2</v>
      </c>
      <c r="E397" s="2">
        <v>4375</v>
      </c>
      <c r="F397" s="2">
        <v>1.0740000000000001</v>
      </c>
      <c r="G397" s="2">
        <v>-0.51429999999999998</v>
      </c>
      <c r="H397" s="2">
        <v>7.218</v>
      </c>
      <c r="I397" s="2">
        <v>23196</v>
      </c>
      <c r="J397" s="2">
        <v>0.98419999999999996</v>
      </c>
      <c r="K397" s="2">
        <v>789.3</v>
      </c>
      <c r="L397" s="2">
        <v>8.344E-2</v>
      </c>
      <c r="M397" s="2">
        <v>0.24010000000000001</v>
      </c>
      <c r="N397">
        <f t="shared" si="82"/>
        <v>1.0740000000000001E-3</v>
      </c>
      <c r="O397" s="7">
        <f t="shared" si="78"/>
        <v>6109082639.3444939</v>
      </c>
      <c r="P397" s="7">
        <f t="shared" si="83"/>
        <v>1.9278798629937779E+17</v>
      </c>
      <c r="Q397">
        <f t="shared" si="84"/>
        <v>74786916000</v>
      </c>
      <c r="R397">
        <f t="shared" si="85"/>
        <v>54962116200000</v>
      </c>
      <c r="S397" s="1">
        <f t="shared" si="86"/>
        <v>1.9890000000000001E+33</v>
      </c>
      <c r="T397" s="1">
        <f t="shared" si="87"/>
        <v>1.9575738E+33</v>
      </c>
      <c r="U397" s="8">
        <f t="shared" si="79"/>
        <v>3.259116622247672E-17</v>
      </c>
      <c r="V397" s="11">
        <f t="shared" si="80"/>
        <v>2.671026471864932E+54</v>
      </c>
      <c r="W397" s="1">
        <f t="shared" si="81"/>
        <v>9.2824010334198217E+53</v>
      </c>
      <c r="X397">
        <f t="shared" si="88"/>
        <v>54.426678192225005</v>
      </c>
      <c r="Y397">
        <f t="shared" si="89"/>
        <v>53.967660327586451</v>
      </c>
      <c r="AA397" s="10">
        <f t="shared" si="90"/>
        <v>6109.0826393444941</v>
      </c>
    </row>
    <row r="398" spans="1:27" x14ac:dyDescent="0.25">
      <c r="A398" s="2">
        <v>1</v>
      </c>
      <c r="B398" s="2">
        <v>9.7882219999999993</v>
      </c>
      <c r="C398" s="6">
        <v>3.7609499514108973</v>
      </c>
      <c r="D398" s="2">
        <v>6.0999999999999999E-2</v>
      </c>
      <c r="E398" s="2">
        <v>4374</v>
      </c>
      <c r="F398" s="2">
        <v>1.0760000000000001</v>
      </c>
      <c r="G398" s="2">
        <v>-0.51429999999999998</v>
      </c>
      <c r="H398" s="2">
        <v>7.218</v>
      </c>
      <c r="I398" s="2">
        <v>23231</v>
      </c>
      <c r="J398" s="2">
        <v>0.98419999999999996</v>
      </c>
      <c r="K398" s="2">
        <v>790.1</v>
      </c>
      <c r="L398" s="2">
        <v>8.3420000000000008E-2</v>
      </c>
      <c r="M398" s="2">
        <v>0.23980000000000001</v>
      </c>
      <c r="N398">
        <f t="shared" si="82"/>
        <v>1.0760000000000001E-3</v>
      </c>
      <c r="O398" s="7">
        <f t="shared" si="78"/>
        <v>6140758244.7819042</v>
      </c>
      <c r="P398" s="7">
        <f t="shared" si="83"/>
        <v>1.9378759238552941E+17</v>
      </c>
      <c r="Q398">
        <f t="shared" si="84"/>
        <v>74926184000</v>
      </c>
      <c r="R398">
        <f t="shared" si="85"/>
        <v>55017823400000</v>
      </c>
      <c r="S398" s="1">
        <f t="shared" si="86"/>
        <v>1.9890000000000001E+33</v>
      </c>
      <c r="T398" s="1">
        <f t="shared" si="87"/>
        <v>1.9575738E+33</v>
      </c>
      <c r="U398" s="8">
        <f t="shared" si="79"/>
        <v>3.2423052631148573E-17</v>
      </c>
      <c r="V398" s="11">
        <f t="shared" si="80"/>
        <v>2.6776338576092409E+54</v>
      </c>
      <c r="W398" s="1">
        <f t="shared" si="81"/>
        <v>9.3147713261786021E+53</v>
      </c>
      <c r="X398">
        <f t="shared" si="88"/>
        <v>54.42775119086447</v>
      </c>
      <c r="Y398">
        <f t="shared" si="89"/>
        <v>53.969172197611456</v>
      </c>
      <c r="AA398" s="10">
        <f t="shared" si="90"/>
        <v>6140.7582447819041</v>
      </c>
    </row>
    <row r="399" spans="1:27" x14ac:dyDescent="0.25">
      <c r="A399" s="2">
        <v>1</v>
      </c>
      <c r="B399" s="2">
        <v>9.7904579999999992</v>
      </c>
      <c r="C399" s="6">
        <v>3.7610252517113727</v>
      </c>
      <c r="D399" s="2">
        <v>6.3E-2</v>
      </c>
      <c r="E399" s="2">
        <v>4373</v>
      </c>
      <c r="F399" s="2">
        <v>1.077</v>
      </c>
      <c r="G399" s="2">
        <v>-0.51429999999999998</v>
      </c>
      <c r="H399" s="2">
        <v>7.2190000000000003</v>
      </c>
      <c r="I399" s="2">
        <v>23266</v>
      </c>
      <c r="J399" s="2">
        <v>0.98419999999999996</v>
      </c>
      <c r="K399" s="2">
        <v>790.8</v>
      </c>
      <c r="L399" s="2">
        <v>8.3390000000000006E-2</v>
      </c>
      <c r="M399" s="2">
        <v>0.23949999999999999</v>
      </c>
      <c r="N399">
        <f t="shared" si="82"/>
        <v>1.077E-3</v>
      </c>
      <c r="O399" s="7">
        <f t="shared" si="78"/>
        <v>6172455960.608367</v>
      </c>
      <c r="P399" s="7">
        <f t="shared" si="83"/>
        <v>1.9478789622249459E+17</v>
      </c>
      <c r="Q399">
        <f t="shared" si="84"/>
        <v>74995818000</v>
      </c>
      <c r="R399">
        <f t="shared" si="85"/>
        <v>55066567200000</v>
      </c>
      <c r="S399" s="1">
        <f t="shared" si="86"/>
        <v>1.9890000000000001E+33</v>
      </c>
      <c r="T399" s="1">
        <f t="shared" si="87"/>
        <v>1.9575738E+33</v>
      </c>
      <c r="U399" s="8">
        <f t="shared" si="79"/>
        <v>3.2256548938763005E-17</v>
      </c>
      <c r="V399" s="11">
        <f t="shared" si="80"/>
        <v>2.6792571217530656E+54</v>
      </c>
      <c r="W399" s="1">
        <f t="shared" si="81"/>
        <v>9.3287370097281064E+53</v>
      </c>
      <c r="X399">
        <f t="shared" si="88"/>
        <v>54.42801439378745</v>
      </c>
      <c r="Y399">
        <f t="shared" si="89"/>
        <v>53.969822849873545</v>
      </c>
      <c r="AA399" s="10">
        <f t="shared" si="90"/>
        <v>6172.4559606083667</v>
      </c>
    </row>
    <row r="400" spans="1:27" x14ac:dyDescent="0.25">
      <c r="A400" s="2">
        <v>1</v>
      </c>
      <c r="B400" s="2">
        <v>9.7926819999999992</v>
      </c>
      <c r="C400" s="6">
        <v>3.7611005389581424</v>
      </c>
      <c r="D400" s="2">
        <v>6.4000000000000001E-2</v>
      </c>
      <c r="E400" s="2">
        <v>4372</v>
      </c>
      <c r="F400" s="2">
        <v>1.079</v>
      </c>
      <c r="G400" s="2">
        <v>-0.51429999999999998</v>
      </c>
      <c r="H400" s="2">
        <v>7.22</v>
      </c>
      <c r="I400" s="2">
        <v>23302</v>
      </c>
      <c r="J400" s="2">
        <v>0.98419999999999996</v>
      </c>
      <c r="K400" s="2">
        <v>791.7</v>
      </c>
      <c r="L400" s="2">
        <v>8.337E-2</v>
      </c>
      <c r="M400" s="2">
        <v>0.2392</v>
      </c>
      <c r="N400">
        <f t="shared" si="82"/>
        <v>1.0789999999999999E-3</v>
      </c>
      <c r="O400" s="7">
        <f t="shared" si="78"/>
        <v>6204145866.2568054</v>
      </c>
      <c r="P400" s="7">
        <f t="shared" si="83"/>
        <v>1.9578795358898576E+17</v>
      </c>
      <c r="Q400">
        <f t="shared" si="84"/>
        <v>75135086000</v>
      </c>
      <c r="R400">
        <f t="shared" si="85"/>
        <v>55129237800000</v>
      </c>
      <c r="S400" s="1">
        <f t="shared" si="86"/>
        <v>1.9890000000000001E+33</v>
      </c>
      <c r="T400" s="1">
        <f t="shared" si="87"/>
        <v>1.9575738E+33</v>
      </c>
      <c r="U400" s="8">
        <f t="shared" si="79"/>
        <v>3.2091787017549446E-17</v>
      </c>
      <c r="V400" s="11">
        <f t="shared" si="80"/>
        <v>2.6858486375547706E+54</v>
      </c>
      <c r="W400" s="1">
        <f t="shared" si="81"/>
        <v>9.36117060672831E+53</v>
      </c>
      <c r="X400">
        <f t="shared" si="88"/>
        <v>54.4290815341231</v>
      </c>
      <c r="Y400">
        <f t="shared" si="89"/>
        <v>53.971330160303758</v>
      </c>
      <c r="AA400" s="10">
        <f t="shared" si="90"/>
        <v>6204.1458662568057</v>
      </c>
    </row>
    <row r="401" spans="1:27" x14ac:dyDescent="0.25">
      <c r="A401" s="2">
        <v>1</v>
      </c>
      <c r="B401" s="2">
        <v>9.7948939999999993</v>
      </c>
      <c r="C401" s="6">
        <v>3.7611758131557314</v>
      </c>
      <c r="D401" s="2">
        <v>6.6000000000000003E-2</v>
      </c>
      <c r="E401" s="2">
        <v>4370</v>
      </c>
      <c r="F401" s="2">
        <v>1.08</v>
      </c>
      <c r="G401" s="2">
        <v>-0.51429999999999998</v>
      </c>
      <c r="H401" s="2">
        <v>7.2210000000000001</v>
      </c>
      <c r="I401" s="2">
        <v>23338</v>
      </c>
      <c r="J401" s="2">
        <v>0.98419999999999996</v>
      </c>
      <c r="K401" s="2">
        <v>792.5</v>
      </c>
      <c r="L401" s="2">
        <v>8.3339999999999997E-2</v>
      </c>
      <c r="M401" s="2">
        <v>0.2389</v>
      </c>
      <c r="N401">
        <f t="shared" si="82"/>
        <v>1.08E-3</v>
      </c>
      <c r="O401" s="7">
        <f t="shared" si="78"/>
        <v>6235826165.9089136</v>
      </c>
      <c r="P401" s="7">
        <f t="shared" si="83"/>
        <v>1.9678770781328714E+17</v>
      </c>
      <c r="Q401">
        <f t="shared" si="84"/>
        <v>75204720000</v>
      </c>
      <c r="R401">
        <f t="shared" si="85"/>
        <v>55184945000000</v>
      </c>
      <c r="S401" s="1">
        <f t="shared" si="86"/>
        <v>1.9890000000000001E+33</v>
      </c>
      <c r="T401" s="1">
        <f t="shared" si="87"/>
        <v>1.9575738E+33</v>
      </c>
      <c r="U401" s="8">
        <f t="shared" si="79"/>
        <v>3.1928748888833516E-17</v>
      </c>
      <c r="V401" s="11">
        <f t="shared" si="80"/>
        <v>2.6874545619417989E+54</v>
      </c>
      <c r="W401" s="1">
        <f t="shared" si="81"/>
        <v>9.3751554287245522E+53</v>
      </c>
      <c r="X401">
        <f t="shared" si="88"/>
        <v>54.42934113016468</v>
      </c>
      <c r="Y401">
        <f t="shared" si="89"/>
        <v>53.971978476536059</v>
      </c>
      <c r="AA401" s="10">
        <f t="shared" si="90"/>
        <v>6235.8261659089139</v>
      </c>
    </row>
    <row r="402" spans="1:27" x14ac:dyDescent="0.25">
      <c r="A402" s="2">
        <v>1</v>
      </c>
      <c r="B402" s="2">
        <v>9.7970959999999998</v>
      </c>
      <c r="C402" s="6">
        <v>3.7612510743086629</v>
      </c>
      <c r="D402" s="2">
        <v>6.7000000000000004E-2</v>
      </c>
      <c r="E402" s="2">
        <v>4369</v>
      </c>
      <c r="F402" s="2">
        <v>1.0820000000000001</v>
      </c>
      <c r="G402" s="2">
        <v>-0.51429999999999998</v>
      </c>
      <c r="H402" s="2">
        <v>7.2220000000000004</v>
      </c>
      <c r="I402" s="2">
        <v>23373</v>
      </c>
      <c r="J402" s="2">
        <v>0.98419999999999996</v>
      </c>
      <c r="K402" s="2">
        <v>793.3</v>
      </c>
      <c r="L402" s="2">
        <v>8.3319999999999991E-2</v>
      </c>
      <c r="M402" s="2">
        <v>0.23860000000000001</v>
      </c>
      <c r="N402">
        <f t="shared" si="82"/>
        <v>1.0820000000000001E-3</v>
      </c>
      <c r="O402" s="7">
        <f t="shared" si="78"/>
        <v>6267523918.2976952</v>
      </c>
      <c r="P402" s="7">
        <f t="shared" si="83"/>
        <v>1.9778801280407136E+17</v>
      </c>
      <c r="Q402">
        <f t="shared" si="84"/>
        <v>75343988000.000015</v>
      </c>
      <c r="R402">
        <f t="shared" si="85"/>
        <v>55240652199999.992</v>
      </c>
      <c r="S402" s="1">
        <f t="shared" si="86"/>
        <v>1.9890000000000001E+33</v>
      </c>
      <c r="T402" s="1">
        <f t="shared" si="87"/>
        <v>1.9575738E+33</v>
      </c>
      <c r="U402" s="8">
        <f t="shared" si="79"/>
        <v>3.1767270514031122E-17</v>
      </c>
      <c r="V402" s="11">
        <f t="shared" si="80"/>
        <v>2.6940300168407894E+54</v>
      </c>
      <c r="W402" s="1">
        <f t="shared" si="81"/>
        <v>9.4076521795127651E+53</v>
      </c>
      <c r="X402">
        <f t="shared" si="88"/>
        <v>54.430402430316327</v>
      </c>
      <c r="Y402">
        <f t="shared" si="89"/>
        <v>53.973481252257713</v>
      </c>
      <c r="AA402" s="10">
        <f t="shared" si="90"/>
        <v>6267.5239182976948</v>
      </c>
    </row>
    <row r="403" spans="1:27" x14ac:dyDescent="0.25">
      <c r="A403" s="2">
        <v>1</v>
      </c>
      <c r="B403" s="2">
        <v>9.7992860000000004</v>
      </c>
      <c r="C403" s="6">
        <v>3.7613263224214566</v>
      </c>
      <c r="D403" s="2">
        <v>6.9000000000000006E-2</v>
      </c>
      <c r="E403" s="2">
        <v>4368</v>
      </c>
      <c r="F403" s="2">
        <v>1.0840000000000001</v>
      </c>
      <c r="G403" s="2">
        <v>-0.51429999999999998</v>
      </c>
      <c r="H403" s="2">
        <v>7.2229999999999999</v>
      </c>
      <c r="I403" s="2">
        <v>23409</v>
      </c>
      <c r="J403" s="2">
        <v>0.98419999999999996</v>
      </c>
      <c r="K403" s="2">
        <v>794.1</v>
      </c>
      <c r="L403" s="2">
        <v>8.3290000000000003E-2</v>
      </c>
      <c r="M403" s="2">
        <v>0.23830000000000001</v>
      </c>
      <c r="N403">
        <f t="shared" si="82"/>
        <v>1.0840000000000001E-3</v>
      </c>
      <c r="O403" s="7">
        <f t="shared" si="78"/>
        <v>6299208739.7146063</v>
      </c>
      <c r="P403" s="7">
        <f t="shared" si="83"/>
        <v>1.9878790972441766E+17</v>
      </c>
      <c r="Q403">
        <f t="shared" si="84"/>
        <v>75483256000.000015</v>
      </c>
      <c r="R403">
        <f t="shared" si="85"/>
        <v>55296359400000</v>
      </c>
      <c r="S403" s="1">
        <f t="shared" si="86"/>
        <v>1.9890000000000001E+33</v>
      </c>
      <c r="T403" s="1">
        <f t="shared" si="87"/>
        <v>1.9575738E+33</v>
      </c>
      <c r="U403" s="8">
        <f t="shared" si="79"/>
        <v>3.1607482144613572E-17</v>
      </c>
      <c r="V403" s="11">
        <f t="shared" si="80"/>
        <v>2.700598836358125E+54</v>
      </c>
      <c r="W403" s="1">
        <f t="shared" si="81"/>
        <v>9.4390632429823012E+53</v>
      </c>
      <c r="X403">
        <f t="shared" si="88"/>
        <v>54.431460076192096</v>
      </c>
      <c r="Y403">
        <f t="shared" si="89"/>
        <v>53.974928895930447</v>
      </c>
      <c r="AA403" s="10">
        <f t="shared" si="90"/>
        <v>6299.2087397146061</v>
      </c>
    </row>
    <row r="404" spans="1:27" x14ac:dyDescent="0.25">
      <c r="A404" s="2">
        <v>1</v>
      </c>
      <c r="B404" s="2">
        <v>9.8014650000000003</v>
      </c>
      <c r="C404" s="6">
        <v>3.7613263224214566</v>
      </c>
      <c r="D404" s="2">
        <v>7.0000000000000007E-2</v>
      </c>
      <c r="E404" s="2">
        <v>4367</v>
      </c>
      <c r="F404" s="2">
        <v>1.085</v>
      </c>
      <c r="G404" s="2">
        <v>-0.51429999999999998</v>
      </c>
      <c r="H404" s="2">
        <v>7.2240000000000002</v>
      </c>
      <c r="I404" s="2">
        <v>23444</v>
      </c>
      <c r="J404" s="2">
        <v>0.98419999999999996</v>
      </c>
      <c r="K404" s="2">
        <v>794.9</v>
      </c>
      <c r="L404" s="2">
        <v>8.3269999999999997E-2</v>
      </c>
      <c r="M404" s="2">
        <v>0.23799999999999999</v>
      </c>
      <c r="N404">
        <f t="shared" si="82"/>
        <v>1.085E-3</v>
      </c>
      <c r="O404" s="7">
        <f t="shared" si="78"/>
        <v>6330893386.8227673</v>
      </c>
      <c r="P404" s="7">
        <f t="shared" si="83"/>
        <v>1.9978780114399818E+17</v>
      </c>
      <c r="Q404">
        <f t="shared" si="84"/>
        <v>75552890000</v>
      </c>
      <c r="R404">
        <f t="shared" si="85"/>
        <v>55352066600000</v>
      </c>
      <c r="S404" s="1">
        <f t="shared" si="86"/>
        <v>1.9890000000000001E+33</v>
      </c>
      <c r="T404" s="1">
        <f t="shared" si="87"/>
        <v>1.9575738E+33</v>
      </c>
      <c r="U404" s="8">
        <f t="shared" si="79"/>
        <v>3.1449294057002739E-17</v>
      </c>
      <c r="V404" s="11">
        <f t="shared" si="80"/>
        <v>2.7021776829871118E+54</v>
      </c>
      <c r="W404" s="1">
        <f t="shared" si="81"/>
        <v>9.4542157841317982E+53</v>
      </c>
      <c r="X404">
        <f t="shared" si="88"/>
        <v>54.431713902866512</v>
      </c>
      <c r="Y404">
        <f t="shared" si="89"/>
        <v>53.975625510468298</v>
      </c>
      <c r="AA404" s="10">
        <f t="shared" si="90"/>
        <v>6330.8933868227668</v>
      </c>
    </row>
    <row r="405" spans="1:27" x14ac:dyDescent="0.25">
      <c r="A405" s="2">
        <v>1</v>
      </c>
      <c r="B405" s="2">
        <v>9.8036329999999996</v>
      </c>
      <c r="C405" s="6">
        <v>3.761401557498631</v>
      </c>
      <c r="D405" s="2">
        <v>7.1999999999999995E-2</v>
      </c>
      <c r="E405" s="2">
        <v>4365</v>
      </c>
      <c r="F405" s="2">
        <v>1.087</v>
      </c>
      <c r="G405" s="2">
        <v>-0.51429999999999998</v>
      </c>
      <c r="H405" s="2">
        <v>7.2249999999999996</v>
      </c>
      <c r="I405" s="2">
        <v>23479</v>
      </c>
      <c r="J405" s="2">
        <v>0.98419999999999996</v>
      </c>
      <c r="K405" s="2">
        <v>795.7</v>
      </c>
      <c r="L405" s="2">
        <v>8.3250000000000005E-2</v>
      </c>
      <c r="M405" s="2">
        <v>0.23769999999999999</v>
      </c>
      <c r="N405">
        <f t="shared" si="82"/>
        <v>1.0869999999999999E-3</v>
      </c>
      <c r="O405" s="7">
        <f t="shared" si="78"/>
        <v>6362576249.6840811</v>
      </c>
      <c r="P405" s="7">
        <f t="shared" si="83"/>
        <v>2.0078763625703037E+17</v>
      </c>
      <c r="Q405">
        <f t="shared" si="84"/>
        <v>75692158000</v>
      </c>
      <c r="R405">
        <f t="shared" si="85"/>
        <v>55407773800000.008</v>
      </c>
      <c r="S405" s="1">
        <f t="shared" si="86"/>
        <v>1.9890000000000001E+33</v>
      </c>
      <c r="T405" s="1">
        <f t="shared" si="87"/>
        <v>1.9575738E+33</v>
      </c>
      <c r="U405" s="8">
        <f t="shared" si="79"/>
        <v>3.129269024879806E-17</v>
      </c>
      <c r="V405" s="11">
        <f t="shared" si="80"/>
        <v>2.7087301349082189E+54</v>
      </c>
      <c r="W405" s="1">
        <f t="shared" si="81"/>
        <v>9.4868230429578976E+53</v>
      </c>
      <c r="X405">
        <f t="shared" si="88"/>
        <v>54.432765739341669</v>
      </c>
      <c r="Y405">
        <f t="shared" si="89"/>
        <v>53.977120799791848</v>
      </c>
      <c r="AA405" s="10">
        <f t="shared" si="90"/>
        <v>6362.5762496840807</v>
      </c>
    </row>
    <row r="406" spans="1:27" x14ac:dyDescent="0.25">
      <c r="A406" s="2">
        <v>1</v>
      </c>
      <c r="B406" s="2">
        <v>9.8057909999999993</v>
      </c>
      <c r="C406" s="6">
        <v>3.7614767795447017</v>
      </c>
      <c r="D406" s="2">
        <v>7.2999999999999995E-2</v>
      </c>
      <c r="E406" s="2">
        <v>4364</v>
      </c>
      <c r="F406" s="2">
        <v>1.0880000000000001</v>
      </c>
      <c r="G406" s="2">
        <v>-0.51429999999999998</v>
      </c>
      <c r="H406" s="2">
        <v>7.226</v>
      </c>
      <c r="I406" s="2">
        <v>23514</v>
      </c>
      <c r="J406" s="2">
        <v>0.98419999999999996</v>
      </c>
      <c r="K406" s="2">
        <v>796.5</v>
      </c>
      <c r="L406" s="2">
        <v>8.3220000000000002E-2</v>
      </c>
      <c r="M406" s="2">
        <v>0.2374</v>
      </c>
      <c r="N406">
        <f t="shared" si="82"/>
        <v>1.088E-3</v>
      </c>
      <c r="O406" s="7">
        <f t="shared" si="78"/>
        <v>6394270433.7537918</v>
      </c>
      <c r="P406" s="7">
        <f t="shared" si="83"/>
        <v>2.0178782864022867E+17</v>
      </c>
      <c r="Q406">
        <f t="shared" si="84"/>
        <v>75761792000</v>
      </c>
      <c r="R406">
        <f t="shared" si="85"/>
        <v>55463481000000</v>
      </c>
      <c r="S406" s="1">
        <f t="shared" si="86"/>
        <v>1.9890000000000001E+33</v>
      </c>
      <c r="T406" s="1">
        <f t="shared" si="87"/>
        <v>1.9575738E+33</v>
      </c>
      <c r="U406" s="8">
        <f t="shared" si="79"/>
        <v>3.1137583220551902E-17</v>
      </c>
      <c r="V406" s="11">
        <f t="shared" si="80"/>
        <v>2.7102913235135588E+54</v>
      </c>
      <c r="W406" s="1">
        <f t="shared" si="81"/>
        <v>9.5008611601852723E+53</v>
      </c>
      <c r="X406">
        <f t="shared" si="88"/>
        <v>54.4330159747838</v>
      </c>
      <c r="Y406">
        <f t="shared" si="89"/>
        <v>53.977762971622155</v>
      </c>
      <c r="AA406" s="10">
        <f t="shared" si="90"/>
        <v>6394.2704337537916</v>
      </c>
    </row>
    <row r="407" spans="1:27" x14ac:dyDescent="0.25">
      <c r="A407" s="2">
        <v>1</v>
      </c>
      <c r="B407" s="2">
        <v>9.807938</v>
      </c>
      <c r="C407" s="6">
        <v>3.7615519885641819</v>
      </c>
      <c r="D407" s="2">
        <v>7.4999999999999997E-2</v>
      </c>
      <c r="E407" s="2">
        <v>4363</v>
      </c>
      <c r="F407" s="2">
        <v>1.0900000000000001</v>
      </c>
      <c r="G407" s="2">
        <v>-0.51429999999999998</v>
      </c>
      <c r="H407" s="2">
        <v>7.2270000000000003</v>
      </c>
      <c r="I407" s="2">
        <v>23549</v>
      </c>
      <c r="J407" s="2">
        <v>0.98419999999999996</v>
      </c>
      <c r="K407" s="2">
        <v>797.4</v>
      </c>
      <c r="L407" s="2">
        <v>8.3199999999999996E-2</v>
      </c>
      <c r="M407" s="2">
        <v>0.23710000000000001</v>
      </c>
      <c r="N407">
        <f t="shared" si="82"/>
        <v>1.09E-3</v>
      </c>
      <c r="O407" s="7">
        <f t="shared" si="78"/>
        <v>6425959735.9010124</v>
      </c>
      <c r="P407" s="7">
        <f t="shared" si="83"/>
        <v>2.0278786696166979E+17</v>
      </c>
      <c r="Q407">
        <f t="shared" si="84"/>
        <v>75901060000</v>
      </c>
      <c r="R407">
        <f t="shared" si="85"/>
        <v>55526151600000</v>
      </c>
      <c r="S407" s="1">
        <f t="shared" si="86"/>
        <v>1.9890000000000001E+33</v>
      </c>
      <c r="T407" s="1">
        <f t="shared" si="87"/>
        <v>1.9575738E+33</v>
      </c>
      <c r="U407" s="8">
        <f t="shared" si="79"/>
        <v>3.098402977120525E-17</v>
      </c>
      <c r="V407" s="11">
        <f t="shared" si="80"/>
        <v>2.7168272168783261E+54</v>
      </c>
      <c r="W407" s="1">
        <f t="shared" si="81"/>
        <v>9.5335311870213722E+53</v>
      </c>
      <c r="X407">
        <f t="shared" si="88"/>
        <v>54.434062019300335</v>
      </c>
      <c r="Y407">
        <f t="shared" si="89"/>
        <v>53.979253791612877</v>
      </c>
      <c r="AA407" s="10">
        <f t="shared" si="90"/>
        <v>6425.9597359010122</v>
      </c>
    </row>
    <row r="408" spans="1:27" x14ac:dyDescent="0.25">
      <c r="A408" s="2">
        <v>1</v>
      </c>
      <c r="B408" s="2">
        <v>9.8100749999999994</v>
      </c>
      <c r="C408" s="6">
        <v>3.7615519885641819</v>
      </c>
      <c r="D408" s="2">
        <v>7.5999999999999998E-2</v>
      </c>
      <c r="E408" s="2">
        <v>4361</v>
      </c>
      <c r="F408" s="2">
        <v>1.0920000000000001</v>
      </c>
      <c r="G408" s="2">
        <v>-0.51429999999999998</v>
      </c>
      <c r="H408" s="2">
        <v>7.2279999999999998</v>
      </c>
      <c r="I408" s="2">
        <v>23584</v>
      </c>
      <c r="J408" s="2">
        <v>0.98419999999999996</v>
      </c>
      <c r="K408" s="2">
        <v>798.3</v>
      </c>
      <c r="L408" s="2">
        <v>8.3180000000000004E-2</v>
      </c>
      <c r="M408" s="2">
        <v>0.23680000000000001</v>
      </c>
      <c r="N408">
        <f t="shared" si="82"/>
        <v>1.0920000000000001E-3</v>
      </c>
      <c r="O408" s="7">
        <f t="shared" si="78"/>
        <v>6457657391.9816465</v>
      </c>
      <c r="P408" s="7">
        <f t="shared" si="83"/>
        <v>2.037881689132E+17</v>
      </c>
      <c r="Q408">
        <f t="shared" si="84"/>
        <v>76040328000</v>
      </c>
      <c r="R408">
        <f t="shared" si="85"/>
        <v>55588822199999.992</v>
      </c>
      <c r="S408" s="1">
        <f t="shared" si="86"/>
        <v>1.9890000000000001E+33</v>
      </c>
      <c r="T408" s="1">
        <f t="shared" si="87"/>
        <v>1.9575738E+33</v>
      </c>
      <c r="U408" s="8">
        <f t="shared" si="79"/>
        <v>3.0831943486649604E-17</v>
      </c>
      <c r="V408" s="11">
        <f t="shared" si="80"/>
        <v>2.7233561739545969E+54</v>
      </c>
      <c r="W408" s="1">
        <f t="shared" si="81"/>
        <v>9.566248587396257E+53</v>
      </c>
      <c r="X408">
        <f t="shared" si="88"/>
        <v>54.435104444229218</v>
      </c>
      <c r="Y408">
        <f t="shared" si="89"/>
        <v>53.980741662207251</v>
      </c>
      <c r="AA408" s="10">
        <f t="shared" si="90"/>
        <v>6457.6573919816465</v>
      </c>
    </row>
    <row r="409" spans="1:27" x14ac:dyDescent="0.25">
      <c r="A409" s="2">
        <v>1</v>
      </c>
      <c r="B409" s="2">
        <v>9.8122000000000007</v>
      </c>
      <c r="C409" s="6">
        <v>3.7616271845615827</v>
      </c>
      <c r="D409" s="2">
        <v>7.8E-2</v>
      </c>
      <c r="E409" s="2">
        <v>4360</v>
      </c>
      <c r="F409" s="2">
        <v>1.093</v>
      </c>
      <c r="G409" s="2">
        <v>-0.51429999999999998</v>
      </c>
      <c r="H409" s="2">
        <v>7.2290000000000001</v>
      </c>
      <c r="I409" s="2">
        <v>23618</v>
      </c>
      <c r="J409" s="2">
        <v>0.98419999999999996</v>
      </c>
      <c r="K409" s="2">
        <v>799.2</v>
      </c>
      <c r="L409" s="2">
        <v>8.3159999999999998E-2</v>
      </c>
      <c r="M409" s="2">
        <v>0.23649999999999999</v>
      </c>
      <c r="N409">
        <f t="shared" si="82"/>
        <v>1.093E-3</v>
      </c>
      <c r="O409" s="7">
        <f t="shared" si="78"/>
        <v>6489332095.3417187</v>
      </c>
      <c r="P409" s="7">
        <f t="shared" si="83"/>
        <v>2.0478774653195581E+17</v>
      </c>
      <c r="Q409">
        <f t="shared" si="84"/>
        <v>76109962000</v>
      </c>
      <c r="R409">
        <f t="shared" si="85"/>
        <v>55651492800000.008</v>
      </c>
      <c r="S409" s="1">
        <f t="shared" si="86"/>
        <v>1.9890000000000001E+33</v>
      </c>
      <c r="T409" s="1">
        <f t="shared" si="87"/>
        <v>1.9575738E+33</v>
      </c>
      <c r="U409" s="8">
        <f t="shared" si="79"/>
        <v>3.068145147150753E-17</v>
      </c>
      <c r="V409" s="11">
        <f t="shared" si="80"/>
        <v>2.7248897697882617E+54</v>
      </c>
      <c r="W409" s="1">
        <f t="shared" si="81"/>
        <v>9.5814728649298864E+53</v>
      </c>
      <c r="X409">
        <f t="shared" si="88"/>
        <v>54.435348938414137</v>
      </c>
      <c r="Y409">
        <f t="shared" si="89"/>
        <v>53.981432273999737</v>
      </c>
      <c r="AA409" s="10">
        <f t="shared" si="90"/>
        <v>6489.3320953417187</v>
      </c>
    </row>
    <row r="410" spans="1:27" x14ac:dyDescent="0.25">
      <c r="A410" s="2">
        <v>1</v>
      </c>
      <c r="B410" s="2">
        <v>9.8143159999999998</v>
      </c>
      <c r="C410" s="6">
        <v>3.7617023675414125</v>
      </c>
      <c r="D410" s="2">
        <v>7.9000000000000001E-2</v>
      </c>
      <c r="E410" s="2">
        <v>4359</v>
      </c>
      <c r="F410" s="2">
        <v>1.095</v>
      </c>
      <c r="G410" s="2">
        <v>-0.51429999999999998</v>
      </c>
      <c r="H410" s="2">
        <v>7.23</v>
      </c>
      <c r="I410" s="2">
        <v>23653</v>
      </c>
      <c r="J410" s="2">
        <v>0.98419999999999996</v>
      </c>
      <c r="K410" s="2">
        <v>800.1</v>
      </c>
      <c r="L410" s="2">
        <v>8.3140000000000006E-2</v>
      </c>
      <c r="M410" s="2">
        <v>0.23619999999999999</v>
      </c>
      <c r="N410">
        <f t="shared" si="82"/>
        <v>1.0950000000000001E-3</v>
      </c>
      <c r="O410" s="7">
        <f t="shared" si="78"/>
        <v>6521027024.224267</v>
      </c>
      <c r="P410" s="7">
        <f t="shared" si="83"/>
        <v>2.0578796241965974E+17</v>
      </c>
      <c r="Q410">
        <f t="shared" si="84"/>
        <v>76249230000</v>
      </c>
      <c r="R410">
        <f t="shared" si="85"/>
        <v>55714163400000</v>
      </c>
      <c r="S410" s="1">
        <f t="shared" si="86"/>
        <v>1.9890000000000001E+33</v>
      </c>
      <c r="T410" s="1">
        <f t="shared" si="87"/>
        <v>1.9575738E+33</v>
      </c>
      <c r="U410" s="8">
        <f t="shared" si="79"/>
        <v>3.0532326737199516E-17</v>
      </c>
      <c r="V410" s="11">
        <f t="shared" si="80"/>
        <v>2.7314018616146805E+54</v>
      </c>
      <c r="W410" s="1">
        <f t="shared" si="81"/>
        <v>9.614257018401547E+53</v>
      </c>
      <c r="X410">
        <f t="shared" si="88"/>
        <v>54.436385601070675</v>
      </c>
      <c r="Y410">
        <f t="shared" si="89"/>
        <v>53.982915727963373</v>
      </c>
      <c r="AA410" s="10">
        <f t="shared" si="90"/>
        <v>6521.0270242242668</v>
      </c>
    </row>
    <row r="411" spans="1:27" x14ac:dyDescent="0.25">
      <c r="A411" s="2">
        <v>1</v>
      </c>
      <c r="B411" s="2">
        <v>9.8164210000000001</v>
      </c>
      <c r="C411" s="6">
        <v>3.7617023675414125</v>
      </c>
      <c r="D411" s="2">
        <v>8.1000000000000003E-2</v>
      </c>
      <c r="E411" s="2">
        <v>4357</v>
      </c>
      <c r="F411" s="2">
        <v>1.097</v>
      </c>
      <c r="G411" s="2">
        <v>-0.51429999999999998</v>
      </c>
      <c r="H411" s="2">
        <v>7.2309999999999999</v>
      </c>
      <c r="I411" s="2">
        <v>23688</v>
      </c>
      <c r="J411" s="2">
        <v>0.98419999999999996</v>
      </c>
      <c r="K411" s="2">
        <v>801</v>
      </c>
      <c r="L411" s="2">
        <v>8.3110000000000003E-2</v>
      </c>
      <c r="M411" s="2">
        <v>0.2359</v>
      </c>
      <c r="N411">
        <f t="shared" si="82"/>
        <v>1.0969999999999999E-3</v>
      </c>
      <c r="O411" s="7">
        <f t="shared" si="78"/>
        <v>6552710784.1569672</v>
      </c>
      <c r="P411" s="7">
        <f t="shared" si="83"/>
        <v>2.067878258421119E+17</v>
      </c>
      <c r="Q411">
        <f t="shared" si="84"/>
        <v>76388498000</v>
      </c>
      <c r="R411">
        <f t="shared" si="85"/>
        <v>55776834000000</v>
      </c>
      <c r="S411" s="1">
        <f t="shared" si="86"/>
        <v>1.9890000000000001E+33</v>
      </c>
      <c r="T411" s="1">
        <f t="shared" si="87"/>
        <v>1.9575738E+33</v>
      </c>
      <c r="U411" s="8">
        <f t="shared" si="79"/>
        <v>3.0384696398795584E-17</v>
      </c>
      <c r="V411" s="11">
        <f t="shared" si="80"/>
        <v>2.7379068319791613E+54</v>
      </c>
      <c r="W411" s="1">
        <f t="shared" si="81"/>
        <v>9.645927800160581E+53</v>
      </c>
      <c r="X411">
        <f t="shared" si="88"/>
        <v>54.437418665475917</v>
      </c>
      <c r="Y411">
        <f t="shared" si="89"/>
        <v>53.984344006900692</v>
      </c>
      <c r="AA411" s="10">
        <f t="shared" si="90"/>
        <v>6552.7107841569668</v>
      </c>
    </row>
    <row r="412" spans="1:27" x14ac:dyDescent="0.25">
      <c r="A412" s="2">
        <v>1</v>
      </c>
      <c r="B412" s="2">
        <v>9.8185160000000007</v>
      </c>
      <c r="C412" s="6">
        <v>3.7617775375081783</v>
      </c>
      <c r="D412" s="2">
        <v>8.2000000000000003E-2</v>
      </c>
      <c r="E412" s="2">
        <v>4356</v>
      </c>
      <c r="F412" s="2">
        <v>1.0980000000000001</v>
      </c>
      <c r="G412" s="2">
        <v>-0.51429999999999998</v>
      </c>
      <c r="H412" s="2">
        <v>7.2320000000000002</v>
      </c>
      <c r="I412" s="2">
        <v>23723</v>
      </c>
      <c r="J412" s="2">
        <v>0.98419999999999996</v>
      </c>
      <c r="K412" s="2">
        <v>801.9</v>
      </c>
      <c r="L412" s="2">
        <v>8.3089999999999997E-2</v>
      </c>
      <c r="M412" s="2">
        <v>0.2356</v>
      </c>
      <c r="N412">
        <f t="shared" si="82"/>
        <v>1.098E-3</v>
      </c>
      <c r="O412" s="7">
        <f t="shared" si="78"/>
        <v>6584396873.1108284</v>
      </c>
      <c r="P412" s="7">
        <f t="shared" si="83"/>
        <v>2.0778776276288227E+17</v>
      </c>
      <c r="Q412">
        <f t="shared" si="84"/>
        <v>76458132000.000015</v>
      </c>
      <c r="R412">
        <f t="shared" si="85"/>
        <v>55839504600000</v>
      </c>
      <c r="S412" s="1">
        <f t="shared" si="86"/>
        <v>1.9890000000000001E+33</v>
      </c>
      <c r="T412" s="1">
        <f t="shared" si="87"/>
        <v>1.9575738E+33</v>
      </c>
      <c r="U412" s="8">
        <f t="shared" si="79"/>
        <v>3.0238476143321609E-17</v>
      </c>
      <c r="V412" s="11">
        <f t="shared" si="80"/>
        <v>2.7394125167743009E+54</v>
      </c>
      <c r="W412" s="1">
        <f t="shared" si="81"/>
        <v>9.6611963505423016E+53</v>
      </c>
      <c r="X412">
        <f t="shared" si="88"/>
        <v>54.437657435784111</v>
      </c>
      <c r="Y412">
        <f t="shared" si="89"/>
        <v>53.985030908637896</v>
      </c>
      <c r="AA412" s="10">
        <f t="shared" si="90"/>
        <v>6584.396873110828</v>
      </c>
    </row>
    <row r="413" spans="1:27" x14ac:dyDescent="0.25">
      <c r="A413" s="2">
        <v>1</v>
      </c>
      <c r="B413" s="2">
        <v>9.8206009999999999</v>
      </c>
      <c r="C413" s="6">
        <v>3.7617775375081783</v>
      </c>
      <c r="D413" s="2">
        <v>8.4000000000000005E-2</v>
      </c>
      <c r="E413" s="2">
        <v>4355</v>
      </c>
      <c r="F413" s="2">
        <v>1.1000000000000001</v>
      </c>
      <c r="G413" s="2">
        <v>-0.51429999999999998</v>
      </c>
      <c r="H413" s="2">
        <v>7.2329999999999997</v>
      </c>
      <c r="I413" s="2">
        <v>23757</v>
      </c>
      <c r="J413" s="2">
        <v>0.98419999999999996</v>
      </c>
      <c r="K413" s="2">
        <v>802.8</v>
      </c>
      <c r="L413" s="2">
        <v>8.3069999999999991E-2</v>
      </c>
      <c r="M413" s="2">
        <v>0.2354</v>
      </c>
      <c r="N413">
        <f t="shared" si="82"/>
        <v>1.1000000000000001E-3</v>
      </c>
      <c r="O413" s="7">
        <f t="shared" si="78"/>
        <v>6616083839.638485</v>
      </c>
      <c r="P413" s="7">
        <f t="shared" si="83"/>
        <v>2.0878772737777546E+17</v>
      </c>
      <c r="Q413">
        <f t="shared" si="84"/>
        <v>76597400000</v>
      </c>
      <c r="R413">
        <f t="shared" si="85"/>
        <v>55902175200000</v>
      </c>
      <c r="S413" s="1">
        <f t="shared" si="86"/>
        <v>1.9890000000000001E+33</v>
      </c>
      <c r="T413" s="1">
        <f t="shared" si="87"/>
        <v>1.9575738E+33</v>
      </c>
      <c r="U413" s="8">
        <f t="shared" si="79"/>
        <v>3.0093652467469713E-17</v>
      </c>
      <c r="V413" s="11">
        <f t="shared" si="80"/>
        <v>2.7470672936549121E+54</v>
      </c>
      <c r="W413" s="1">
        <f t="shared" si="81"/>
        <v>9.6940900630379575E+53</v>
      </c>
      <c r="X413">
        <f t="shared" si="88"/>
        <v>54.43886929826477</v>
      </c>
      <c r="Y413">
        <f t="shared" si="89"/>
        <v>53.986507050222592</v>
      </c>
      <c r="AA413" s="10">
        <f t="shared" si="90"/>
        <v>6616.0838396384852</v>
      </c>
    </row>
    <row r="414" spans="1:27" x14ac:dyDescent="0.25">
      <c r="A414" s="2">
        <v>1</v>
      </c>
      <c r="B414" s="2">
        <v>9.8226759999999995</v>
      </c>
      <c r="C414" s="6">
        <v>3.7618526944663833</v>
      </c>
      <c r="D414" s="2">
        <v>8.5000000000000006E-2</v>
      </c>
      <c r="E414" s="2">
        <v>4353</v>
      </c>
      <c r="F414" s="2">
        <v>1.1020000000000001</v>
      </c>
      <c r="G414" s="2">
        <v>-0.51429999999999998</v>
      </c>
      <c r="H414" s="2">
        <v>7.234</v>
      </c>
      <c r="I414" s="2">
        <v>23792</v>
      </c>
      <c r="J414" s="2">
        <v>0.98419999999999996</v>
      </c>
      <c r="K414" s="2">
        <v>803.7</v>
      </c>
      <c r="L414" s="2">
        <v>8.3060000000000009E-2</v>
      </c>
      <c r="M414" s="2">
        <v>0.2351</v>
      </c>
      <c r="N414">
        <f t="shared" si="82"/>
        <v>1.1020000000000001E-3</v>
      </c>
      <c r="O414" s="7">
        <f t="shared" si="78"/>
        <v>6647770225.2300863</v>
      </c>
      <c r="P414" s="7">
        <f t="shared" si="83"/>
        <v>2.0978767365972096E+17</v>
      </c>
      <c r="Q414">
        <f t="shared" si="84"/>
        <v>76736668000</v>
      </c>
      <c r="R414">
        <f t="shared" si="85"/>
        <v>55964845800000</v>
      </c>
      <c r="S414" s="1">
        <f t="shared" si="86"/>
        <v>1.9890000000000001E+33</v>
      </c>
      <c r="T414" s="1">
        <f t="shared" si="87"/>
        <v>1.9575738E+33</v>
      </c>
      <c r="U414" s="8">
        <f t="shared" si="79"/>
        <v>2.9950212029001362E-17</v>
      </c>
      <c r="V414" s="11">
        <f t="shared" si="80"/>
        <v>2.753552032856463E+54</v>
      </c>
      <c r="W414" s="1">
        <f t="shared" si="81"/>
        <v>9.7282021203342329E+53</v>
      </c>
      <c r="X414">
        <f t="shared" si="88"/>
        <v>54.439893287597371</v>
      </c>
      <c r="Y414">
        <f t="shared" si="89"/>
        <v>53.988032585246295</v>
      </c>
      <c r="AA414" s="10">
        <f t="shared" si="90"/>
        <v>6647.770225230086</v>
      </c>
    </row>
    <row r="415" spans="1:27" x14ac:dyDescent="0.25">
      <c r="A415" s="2">
        <v>1</v>
      </c>
      <c r="B415" s="2">
        <v>9.8247409999999995</v>
      </c>
      <c r="C415" s="6">
        <v>3.7618526944663833</v>
      </c>
      <c r="D415" s="2">
        <v>8.6999999999999994E-2</v>
      </c>
      <c r="E415" s="2">
        <v>4352</v>
      </c>
      <c r="F415" s="2">
        <v>1.1040000000000001</v>
      </c>
      <c r="G415" s="2">
        <v>-0.51429999999999998</v>
      </c>
      <c r="H415" s="2">
        <v>7.2350000000000003</v>
      </c>
      <c r="I415" s="2">
        <v>23829</v>
      </c>
      <c r="J415" s="2">
        <v>0.98509999999999998</v>
      </c>
      <c r="K415" s="2">
        <v>811.9</v>
      </c>
      <c r="L415" s="2">
        <v>8.1069999999999989E-2</v>
      </c>
      <c r="M415" s="2">
        <v>0.23549999999999999</v>
      </c>
      <c r="N415">
        <f t="shared" si="82"/>
        <v>1.1040000000000002E-3</v>
      </c>
      <c r="O415" s="7">
        <f t="shared" si="78"/>
        <v>6679454564.4139404</v>
      </c>
      <c r="P415" s="7">
        <f t="shared" si="83"/>
        <v>2.1078755536194938E+17</v>
      </c>
      <c r="Q415">
        <f t="shared" si="84"/>
        <v>76875936000</v>
      </c>
      <c r="R415">
        <f t="shared" si="85"/>
        <v>56535844600000</v>
      </c>
      <c r="S415" s="1">
        <f t="shared" si="86"/>
        <v>1.9890000000000001E+33</v>
      </c>
      <c r="T415" s="1">
        <f t="shared" si="87"/>
        <v>1.9593639E+33</v>
      </c>
      <c r="U415" s="8">
        <f t="shared" si="79"/>
        <v>2.9808141644750083E-17</v>
      </c>
      <c r="V415" s="11">
        <f t="shared" si="80"/>
        <v>2.7682577707449543E+54</v>
      </c>
      <c r="W415" s="1">
        <f t="shared" si="81"/>
        <v>9.5296245212014186E+53</v>
      </c>
      <c r="X415">
        <f t="shared" si="88"/>
        <v>54.442206527692178</v>
      </c>
      <c r="Y415">
        <f t="shared" si="89"/>
        <v>53.97907578924454</v>
      </c>
      <c r="AA415" s="10">
        <f t="shared" si="90"/>
        <v>6679.4545644139407</v>
      </c>
    </row>
    <row r="416" spans="1:27" x14ac:dyDescent="0.25">
      <c r="A416" s="2">
        <v>1</v>
      </c>
      <c r="B416" s="2">
        <v>9.8308789999999995</v>
      </c>
      <c r="C416" s="6">
        <v>3.761927838420529</v>
      </c>
      <c r="D416" s="2">
        <v>9.0999999999999998E-2</v>
      </c>
      <c r="E416" s="2">
        <v>4348</v>
      </c>
      <c r="F416" s="2">
        <v>1.109</v>
      </c>
      <c r="G416" s="2">
        <v>-0.51429999999999998</v>
      </c>
      <c r="H416" s="2">
        <v>7.2380000000000004</v>
      </c>
      <c r="I416" s="2">
        <v>23942</v>
      </c>
      <c r="J416" s="2">
        <v>0.98509999999999998</v>
      </c>
      <c r="K416" s="2">
        <v>814.9</v>
      </c>
      <c r="L416" s="2">
        <v>8.1019999999999995E-2</v>
      </c>
      <c r="M416" s="2">
        <v>0.2346</v>
      </c>
      <c r="N416">
        <f t="shared" si="82"/>
        <v>1.109E-3</v>
      </c>
      <c r="O416" s="7">
        <f t="shared" si="78"/>
        <v>6774527343.1393261</v>
      </c>
      <c r="P416" s="7">
        <f t="shared" si="83"/>
        <v>2.137878240838536E+17</v>
      </c>
      <c r="Q416">
        <f t="shared" si="84"/>
        <v>77224106000</v>
      </c>
      <c r="R416">
        <f t="shared" si="85"/>
        <v>56744746600000</v>
      </c>
      <c r="S416" s="1">
        <f t="shared" si="86"/>
        <v>1.9890000000000001E+33</v>
      </c>
      <c r="T416" s="1">
        <f t="shared" si="87"/>
        <v>1.9593639E+33</v>
      </c>
      <c r="U416" s="8">
        <f t="shared" si="79"/>
        <v>2.9389818312174522E-17</v>
      </c>
      <c r="V416" s="11">
        <f t="shared" si="80"/>
        <v>2.7827139777765655E+54</v>
      </c>
      <c r="W416" s="1">
        <f t="shared" si="81"/>
        <v>9.6102082898319399E+53</v>
      </c>
      <c r="X416">
        <f t="shared" si="88"/>
        <v>54.444468569518733</v>
      </c>
      <c r="Y416">
        <f t="shared" si="89"/>
        <v>53.982732800586788</v>
      </c>
      <c r="AA416" s="10">
        <f t="shared" si="90"/>
        <v>6774.5273431393261</v>
      </c>
    </row>
    <row r="417" spans="1:27" x14ac:dyDescent="0.25">
      <c r="A417" s="2">
        <v>1</v>
      </c>
      <c r="B417" s="2">
        <v>9.8409189999999995</v>
      </c>
      <c r="C417" s="6">
        <v>3.7620780873346389</v>
      </c>
      <c r="D417" s="2">
        <v>9.9000000000000005E-2</v>
      </c>
      <c r="E417" s="2">
        <v>4341</v>
      </c>
      <c r="F417" s="2">
        <v>1.1180000000000001</v>
      </c>
      <c r="G417" s="2">
        <v>-0.51429999999999998</v>
      </c>
      <c r="H417" s="2">
        <v>7.242</v>
      </c>
      <c r="I417" s="2">
        <v>24136</v>
      </c>
      <c r="J417" s="2">
        <v>0.98509999999999998</v>
      </c>
      <c r="K417" s="2">
        <v>820.1</v>
      </c>
      <c r="L417" s="2">
        <v>8.0930000000000002E-2</v>
      </c>
      <c r="M417" s="2">
        <v>0.23330000000000001</v>
      </c>
      <c r="N417">
        <f t="shared" si="82"/>
        <v>1.1180000000000001E-3</v>
      </c>
      <c r="O417" s="7">
        <f t="shared" si="78"/>
        <v>6932964876.5064278</v>
      </c>
      <c r="P417" s="7">
        <f t="shared" si="83"/>
        <v>2.1878773238683923E+17</v>
      </c>
      <c r="Q417">
        <f t="shared" si="84"/>
        <v>77850812000</v>
      </c>
      <c r="R417">
        <f t="shared" si="85"/>
        <v>57106843400000</v>
      </c>
      <c r="S417" s="1">
        <f t="shared" si="86"/>
        <v>1.9890000000000001E+33</v>
      </c>
      <c r="T417" s="1">
        <f t="shared" si="87"/>
        <v>1.9593639E+33</v>
      </c>
      <c r="U417" s="8">
        <f t="shared" si="79"/>
        <v>2.8718179207919515E-17</v>
      </c>
      <c r="V417" s="11">
        <f t="shared" si="80"/>
        <v>2.8123917503224455E+54</v>
      </c>
      <c r="W417" s="1">
        <f t="shared" si="81"/>
        <v>9.7559736113842902E+53</v>
      </c>
      <c r="X417">
        <f t="shared" si="88"/>
        <v>54.449075815335462</v>
      </c>
      <c r="Y417">
        <f t="shared" si="89"/>
        <v>53.989270616934263</v>
      </c>
      <c r="AA417" s="10">
        <f t="shared" si="90"/>
        <v>6932.9648765064276</v>
      </c>
    </row>
    <row r="418" spans="1:27" x14ac:dyDescent="0.25">
      <c r="A418" s="2">
        <v>1</v>
      </c>
      <c r="B418" s="2">
        <v>9.850733</v>
      </c>
      <c r="C418" s="6">
        <v>3.7622282842864743</v>
      </c>
      <c r="D418" s="2">
        <v>0.107</v>
      </c>
      <c r="E418" s="2">
        <v>4333</v>
      </c>
      <c r="F418" s="2">
        <v>1.127</v>
      </c>
      <c r="G418" s="2">
        <v>-0.51429999999999998</v>
      </c>
      <c r="H418" s="2">
        <v>7.2480000000000002</v>
      </c>
      <c r="I418" s="2">
        <v>24336</v>
      </c>
      <c r="J418" s="2">
        <v>0.98509999999999998</v>
      </c>
      <c r="K418" s="2">
        <v>825.7</v>
      </c>
      <c r="L418" s="2">
        <v>8.0840000000000009E-2</v>
      </c>
      <c r="M418" s="2">
        <v>0.2319</v>
      </c>
      <c r="N418">
        <f t="shared" si="82"/>
        <v>1.127E-3</v>
      </c>
      <c r="O418" s="7">
        <f t="shared" si="78"/>
        <v>7091416605.6245546</v>
      </c>
      <c r="P418" s="7">
        <f t="shared" si="83"/>
        <v>2.2378808867365744E+17</v>
      </c>
      <c r="Q418">
        <f t="shared" si="84"/>
        <v>78477518000</v>
      </c>
      <c r="R418">
        <f t="shared" si="85"/>
        <v>57496793800000.008</v>
      </c>
      <c r="S418" s="1">
        <f t="shared" si="86"/>
        <v>1.9890000000000001E+33</v>
      </c>
      <c r="T418" s="1">
        <f t="shared" si="87"/>
        <v>1.9593639E+33</v>
      </c>
      <c r="U418" s="8">
        <f t="shared" si="79"/>
        <v>2.8076495690269477E-17</v>
      </c>
      <c r="V418" s="11">
        <f t="shared" si="80"/>
        <v>2.8407044406531014E+54</v>
      </c>
      <c r="W418" s="1">
        <f t="shared" si="81"/>
        <v>9.9026540311512185E+53</v>
      </c>
      <c r="X418">
        <f t="shared" si="88"/>
        <v>54.453426050171103</v>
      </c>
      <c r="Y418">
        <f t="shared" si="89"/>
        <v>53.99575160637638</v>
      </c>
      <c r="AA418" s="10">
        <f t="shared" si="90"/>
        <v>7091.4166056245549</v>
      </c>
    </row>
    <row r="419" spans="1:27" x14ac:dyDescent="0.25">
      <c r="A419" s="2">
        <v>1</v>
      </c>
      <c r="B419" s="2">
        <v>9.8603290000000001</v>
      </c>
      <c r="C419" s="6">
        <v>3.7622282842864743</v>
      </c>
      <c r="D419" s="2">
        <v>0.114</v>
      </c>
      <c r="E419" s="2">
        <v>4326</v>
      </c>
      <c r="F419" s="2">
        <v>1.137</v>
      </c>
      <c r="G419" s="2">
        <v>-0.51429999999999998</v>
      </c>
      <c r="H419" s="2">
        <v>7.2539999999999996</v>
      </c>
      <c r="I419" s="2">
        <v>24529</v>
      </c>
      <c r="J419" s="2">
        <v>0.98509999999999998</v>
      </c>
      <c r="K419" s="2">
        <v>831.6</v>
      </c>
      <c r="L419" s="2">
        <v>8.0769999999999995E-2</v>
      </c>
      <c r="M419" s="2">
        <v>0.2306</v>
      </c>
      <c r="N419">
        <f t="shared" si="82"/>
        <v>1.137E-3</v>
      </c>
      <c r="O419" s="7">
        <f t="shared" si="78"/>
        <v>7249849648.1872606</v>
      </c>
      <c r="P419" s="7">
        <f t="shared" si="83"/>
        <v>2.287878552576343E+17</v>
      </c>
      <c r="Q419">
        <f t="shared" si="84"/>
        <v>79173858000</v>
      </c>
      <c r="R419">
        <f t="shared" si="85"/>
        <v>57907634400000.008</v>
      </c>
      <c r="S419" s="1">
        <f t="shared" si="86"/>
        <v>1.9890000000000001E+33</v>
      </c>
      <c r="T419" s="1">
        <f t="shared" si="87"/>
        <v>1.9593639E+33</v>
      </c>
      <c r="U419" s="8">
        <f t="shared" si="79"/>
        <v>2.746293198170066E-17</v>
      </c>
      <c r="V419" s="11">
        <f t="shared" si="80"/>
        <v>2.8751314268577942E+54</v>
      </c>
      <c r="W419" s="1">
        <f t="shared" si="81"/>
        <v>1.0070440821652385E+54</v>
      </c>
      <c r="X419">
        <f t="shared" si="88"/>
        <v>54.458657701775053</v>
      </c>
      <c r="Y419">
        <f t="shared" si="89"/>
        <v>54.003048481697697</v>
      </c>
      <c r="AA419" s="10">
        <f t="shared" si="90"/>
        <v>7249.8496481872608</v>
      </c>
    </row>
    <row r="420" spans="1:27" x14ac:dyDescent="0.25">
      <c r="A420" s="2">
        <v>1</v>
      </c>
      <c r="B420" s="2">
        <v>9.8697180000000007</v>
      </c>
      <c r="C420" s="6">
        <v>3.7622282842864743</v>
      </c>
      <c r="D420" s="2">
        <v>0.122</v>
      </c>
      <c r="E420" s="2">
        <v>4319</v>
      </c>
      <c r="F420" s="2">
        <v>1.147</v>
      </c>
      <c r="G420" s="2">
        <v>-0.51429999999999998</v>
      </c>
      <c r="H420" s="2">
        <v>7.2619999999999996</v>
      </c>
      <c r="I420" s="2">
        <v>24709</v>
      </c>
      <c r="J420" s="2">
        <v>0.98509999999999998</v>
      </c>
      <c r="K420" s="2">
        <v>837.7</v>
      </c>
      <c r="L420" s="2">
        <v>8.072E-2</v>
      </c>
      <c r="M420" s="2">
        <v>0.22939999999999999</v>
      </c>
      <c r="N420">
        <f t="shared" si="82"/>
        <v>1.147E-3</v>
      </c>
      <c r="O420" s="7">
        <f t="shared" si="78"/>
        <v>7408290433.108572</v>
      </c>
      <c r="P420" s="7">
        <f t="shared" si="83"/>
        <v>2.3378786617186707E+17</v>
      </c>
      <c r="Q420">
        <f t="shared" si="84"/>
        <v>79870198000</v>
      </c>
      <c r="R420">
        <f t="shared" si="85"/>
        <v>58332401800000.008</v>
      </c>
      <c r="S420" s="1">
        <f t="shared" si="86"/>
        <v>1.9890000000000001E+33</v>
      </c>
      <c r="T420" s="1">
        <f t="shared" si="87"/>
        <v>1.9593639E+33</v>
      </c>
      <c r="U420" s="8">
        <f t="shared" si="79"/>
        <v>2.687558345119827E-17</v>
      </c>
      <c r="V420" s="11">
        <f t="shared" si="80"/>
        <v>2.9107018291659966E+54</v>
      </c>
      <c r="W420" s="1">
        <f t="shared" si="81"/>
        <v>1.0242016200971197E+54</v>
      </c>
      <c r="X420">
        <f t="shared" si="88"/>
        <v>54.463997718808685</v>
      </c>
      <c r="Y420">
        <f t="shared" si="89"/>
        <v>54.010385458472292</v>
      </c>
      <c r="AA420" s="10">
        <f t="shared" si="90"/>
        <v>7408.290433108572</v>
      </c>
    </row>
    <row r="421" spans="1:27" x14ac:dyDescent="0.25">
      <c r="A421" s="2">
        <v>1</v>
      </c>
      <c r="B421" s="2">
        <v>9.8807229999999997</v>
      </c>
      <c r="C421" s="6">
        <v>3.7620029693751156</v>
      </c>
      <c r="D421" s="2">
        <v>0.129</v>
      </c>
      <c r="E421" s="2">
        <v>4310</v>
      </c>
      <c r="F421" s="2">
        <v>1.1579999999999999</v>
      </c>
      <c r="G421" s="2">
        <v>-0.51429999999999998</v>
      </c>
      <c r="H421" s="2">
        <v>7.274</v>
      </c>
      <c r="I421" s="2">
        <v>24902</v>
      </c>
      <c r="J421" s="2">
        <v>0.98509999999999998</v>
      </c>
      <c r="K421" s="2">
        <v>845.7</v>
      </c>
      <c r="L421" s="2">
        <v>8.0700000000000008E-2</v>
      </c>
      <c r="M421" s="2">
        <v>0.2283</v>
      </c>
      <c r="N421">
        <f t="shared" si="82"/>
        <v>1.158E-3</v>
      </c>
      <c r="O421" s="7">
        <f t="shared" si="78"/>
        <v>7598414832.427701</v>
      </c>
      <c r="P421" s="7">
        <f t="shared" si="83"/>
        <v>2.3978773591582042E+17</v>
      </c>
      <c r="Q421">
        <f t="shared" si="84"/>
        <v>80636172000</v>
      </c>
      <c r="R421">
        <f t="shared" si="85"/>
        <v>58889473800000.008</v>
      </c>
      <c r="S421" s="1">
        <f t="shared" si="86"/>
        <v>1.9890000000000001E+33</v>
      </c>
      <c r="T421" s="1">
        <f t="shared" si="87"/>
        <v>1.9593639E+33</v>
      </c>
      <c r="U421" s="8">
        <f t="shared" si="79"/>
        <v>2.6203113696295767E-17</v>
      </c>
      <c r="V421" s="11">
        <f t="shared" si="80"/>
        <v>2.9525720190565953E+54</v>
      </c>
      <c r="W421" s="1">
        <f t="shared" si="81"/>
        <v>1.0436818306520686E+54</v>
      </c>
      <c r="X421">
        <f t="shared" si="88"/>
        <v>54.470200499713975</v>
      </c>
      <c r="Y421">
        <f t="shared" si="89"/>
        <v>54.018568122945808</v>
      </c>
      <c r="AA421" s="10">
        <f t="shared" si="90"/>
        <v>7598.4148324277012</v>
      </c>
    </row>
    <row r="422" spans="1:27" x14ac:dyDescent="0.25">
      <c r="A422" s="2">
        <v>1</v>
      </c>
      <c r="B422" s="2">
        <v>9.8896859999999993</v>
      </c>
      <c r="C422" s="6">
        <v>3.7617023675414125</v>
      </c>
      <c r="D422" s="2">
        <v>0.13500000000000001</v>
      </c>
      <c r="E422" s="2">
        <v>4303</v>
      </c>
      <c r="F422" s="2">
        <v>1.1679999999999999</v>
      </c>
      <c r="G422" s="2">
        <v>-0.51429999999999998</v>
      </c>
      <c r="H422" s="2">
        <v>7.2830000000000004</v>
      </c>
      <c r="I422" s="2">
        <v>25078</v>
      </c>
      <c r="J422" s="2">
        <v>0.98509999999999998</v>
      </c>
      <c r="K422" s="2">
        <v>852.9</v>
      </c>
      <c r="L422" s="2">
        <v>8.070999999999999E-2</v>
      </c>
      <c r="M422" s="2">
        <v>0.2276</v>
      </c>
      <c r="N422">
        <f t="shared" si="82"/>
        <v>1.168E-3</v>
      </c>
      <c r="O422" s="7">
        <f t="shared" si="78"/>
        <v>7756860837.075016</v>
      </c>
      <c r="P422" s="7">
        <f t="shared" si="83"/>
        <v>2.4478791155207853E+17</v>
      </c>
      <c r="Q422">
        <f t="shared" si="84"/>
        <v>81332512000</v>
      </c>
      <c r="R422">
        <f t="shared" si="85"/>
        <v>59390838600000</v>
      </c>
      <c r="S422" s="1">
        <f t="shared" si="86"/>
        <v>1.9890000000000001E+33</v>
      </c>
      <c r="T422" s="1">
        <f t="shared" si="87"/>
        <v>1.9593639E+33</v>
      </c>
      <c r="U422" s="8">
        <f t="shared" si="79"/>
        <v>2.5667874150079674E-17</v>
      </c>
      <c r="V422" s="11">
        <f t="shared" si="80"/>
        <v>2.994576504056757E+54</v>
      </c>
      <c r="W422" s="1">
        <f t="shared" si="81"/>
        <v>1.061916826196928E+54</v>
      </c>
      <c r="X422">
        <f t="shared" si="88"/>
        <v>54.476335412716693</v>
      </c>
      <c r="Y422">
        <f t="shared" si="89"/>
        <v>54.026090502302615</v>
      </c>
      <c r="AA422" s="10">
        <f t="shared" si="90"/>
        <v>7756.8608370750162</v>
      </c>
    </row>
    <row r="423" spans="1:27" x14ac:dyDescent="0.25">
      <c r="A423" s="2">
        <v>1</v>
      </c>
      <c r="B423" s="2">
        <v>9.9002029999999994</v>
      </c>
      <c r="C423" s="6">
        <v>3.761401557498631</v>
      </c>
      <c r="D423" s="2">
        <v>0.14399999999999999</v>
      </c>
      <c r="E423" s="2">
        <v>4293</v>
      </c>
      <c r="F423" s="2">
        <v>1.181</v>
      </c>
      <c r="G423" s="2">
        <v>-0.51429999999999998</v>
      </c>
      <c r="H423" s="2">
        <v>7.2869999999999999</v>
      </c>
      <c r="I423" s="2">
        <v>25417</v>
      </c>
      <c r="J423" s="2">
        <v>0.98419999999999996</v>
      </c>
      <c r="K423" s="2">
        <v>855</v>
      </c>
      <c r="L423" s="2">
        <v>8.2650000000000001E-2</v>
      </c>
      <c r="M423" s="2">
        <v>0.2258</v>
      </c>
      <c r="N423">
        <f t="shared" si="82"/>
        <v>1.181E-3</v>
      </c>
      <c r="O423" s="7">
        <f t="shared" si="78"/>
        <v>7946996102.0807171</v>
      </c>
      <c r="P423" s="7">
        <f t="shared" si="83"/>
        <v>2.5078812419102243E+17</v>
      </c>
      <c r="Q423">
        <f t="shared" si="84"/>
        <v>82237754000.000015</v>
      </c>
      <c r="R423">
        <f t="shared" si="85"/>
        <v>59537070000000</v>
      </c>
      <c r="S423" s="1">
        <f t="shared" si="86"/>
        <v>1.9890000000000001E+33</v>
      </c>
      <c r="T423" s="1">
        <f t="shared" si="87"/>
        <v>1.9575738E+33</v>
      </c>
      <c r="U423" s="8">
        <f t="shared" si="79"/>
        <v>2.505375933349123E-17</v>
      </c>
      <c r="V423" s="11">
        <f t="shared" si="80"/>
        <v>3.0373945003499289E+54</v>
      </c>
      <c r="W423" s="1">
        <f t="shared" si="81"/>
        <v>1.1117832393884928E+54</v>
      </c>
      <c r="X423">
        <f t="shared" si="88"/>
        <v>54.482501202256877</v>
      </c>
      <c r="Y423">
        <f t="shared" si="89"/>
        <v>54.046020122575399</v>
      </c>
      <c r="AA423" s="10">
        <f t="shared" si="90"/>
        <v>7946.9961020807168</v>
      </c>
    </row>
    <row r="424" spans="1:27" x14ac:dyDescent="0.25">
      <c r="A424" s="2">
        <v>1</v>
      </c>
      <c r="B424" s="2">
        <v>9.9104700000000001</v>
      </c>
      <c r="C424" s="6">
        <v>3.7611758131557314</v>
      </c>
      <c r="D424" s="2">
        <v>0.155</v>
      </c>
      <c r="E424" s="2">
        <v>4281</v>
      </c>
      <c r="F424" s="2">
        <v>1.1970000000000001</v>
      </c>
      <c r="G424" s="2">
        <v>-0.51429999999999998</v>
      </c>
      <c r="H424" s="2">
        <v>7.2859999999999996</v>
      </c>
      <c r="I424" s="2">
        <v>25824</v>
      </c>
      <c r="J424" s="2">
        <v>0.98419999999999996</v>
      </c>
      <c r="K424" s="2">
        <v>865.7</v>
      </c>
      <c r="L424" s="2">
        <v>8.2599999999999993E-2</v>
      </c>
      <c r="M424" s="2">
        <v>0.22419999999999998</v>
      </c>
      <c r="N424">
        <f t="shared" si="82"/>
        <v>1.1970000000000001E-3</v>
      </c>
      <c r="O424" s="7">
        <f t="shared" si="78"/>
        <v>8137106496.9698944</v>
      </c>
      <c r="P424" s="7">
        <f t="shared" si="83"/>
        <v>2.5678755198877715E+17</v>
      </c>
      <c r="Q424">
        <f t="shared" si="84"/>
        <v>83351898000</v>
      </c>
      <c r="R424">
        <f t="shared" si="85"/>
        <v>60282153800000.008</v>
      </c>
      <c r="S424" s="1">
        <f t="shared" si="86"/>
        <v>1.9890000000000001E+33</v>
      </c>
      <c r="T424" s="1">
        <f t="shared" si="87"/>
        <v>1.9575738E+33</v>
      </c>
      <c r="U424" s="8">
        <f t="shared" si="79"/>
        <v>2.4468418576046052E-17</v>
      </c>
      <c r="V424" s="11">
        <f t="shared" si="80"/>
        <v>3.0981424224150789E+54</v>
      </c>
      <c r="W424" s="1">
        <f t="shared" si="81"/>
        <v>1.1414208924687133E+54</v>
      </c>
      <c r="X424">
        <f t="shared" si="88"/>
        <v>54.491101378512674</v>
      </c>
      <c r="Y424">
        <f t="shared" si="89"/>
        <v>54.057445817574106</v>
      </c>
      <c r="AA424" s="10">
        <f t="shared" si="90"/>
        <v>8137.1064969698946</v>
      </c>
    </row>
    <row r="425" spans="1:27" x14ac:dyDescent="0.25">
      <c r="A425" s="2">
        <v>1</v>
      </c>
      <c r="B425" s="2">
        <v>9.9205009999999998</v>
      </c>
      <c r="C425" s="6">
        <v>3.7609499514108973</v>
      </c>
      <c r="D425" s="2">
        <v>0.16600000000000001</v>
      </c>
      <c r="E425" s="2">
        <v>4269</v>
      </c>
      <c r="F425" s="2">
        <v>1.214</v>
      </c>
      <c r="G425" s="2">
        <v>-0.51429999999999998</v>
      </c>
      <c r="H425" s="2">
        <v>7.2839999999999998</v>
      </c>
      <c r="I425" s="2">
        <v>26208</v>
      </c>
      <c r="J425" s="2">
        <v>0.98419999999999996</v>
      </c>
      <c r="K425" s="2">
        <v>877.2</v>
      </c>
      <c r="L425" s="2">
        <v>8.2549999999999998E-2</v>
      </c>
      <c r="M425" s="2">
        <v>0.2225</v>
      </c>
      <c r="N425">
        <f t="shared" si="82"/>
        <v>1.214E-3</v>
      </c>
      <c r="O425" s="7">
        <f t="shared" si="78"/>
        <v>8327238434.0054331</v>
      </c>
      <c r="P425" s="7">
        <f t="shared" si="83"/>
        <v>2.6278765960496986E+17</v>
      </c>
      <c r="Q425">
        <f t="shared" si="84"/>
        <v>84535676000</v>
      </c>
      <c r="R425">
        <f t="shared" si="85"/>
        <v>61082944800000.008</v>
      </c>
      <c r="S425" s="1">
        <f t="shared" si="86"/>
        <v>1.9890000000000001E+33</v>
      </c>
      <c r="T425" s="1">
        <f t="shared" si="87"/>
        <v>1.9575738E+33</v>
      </c>
      <c r="U425" s="8">
        <f t="shared" si="79"/>
        <v>2.3909742628800207E-17</v>
      </c>
      <c r="V425" s="11">
        <f t="shared" si="80"/>
        <v>3.162604308400943E+54</v>
      </c>
      <c r="W425" s="1">
        <f t="shared" si="81"/>
        <v>1.1733617332966195E+54</v>
      </c>
      <c r="X425">
        <f t="shared" si="88"/>
        <v>54.500044858236329</v>
      </c>
      <c r="Y425">
        <f t="shared" si="89"/>
        <v>54.069431920518191</v>
      </c>
      <c r="AA425" s="10">
        <f t="shared" si="90"/>
        <v>8327.2384340054323</v>
      </c>
    </row>
    <row r="427" spans="1:27" x14ac:dyDescent="0.25">
      <c r="G427" s="2">
        <f>425-372</f>
        <v>53</v>
      </c>
      <c r="O427" s="9" t="s">
        <v>13</v>
      </c>
      <c r="P427" s="7">
        <f t="shared" ref="P427:Y427" si="91">SUM(P2:P425)</f>
        <v>2.4775493852046651E+19</v>
      </c>
      <c r="Q427" s="7">
        <f t="shared" si="91"/>
        <v>28397818817012</v>
      </c>
      <c r="R427" s="7">
        <f t="shared" si="91"/>
        <v>1.72483696536E+16</v>
      </c>
      <c r="S427" s="1">
        <f t="shared" si="91"/>
        <v>8.4333599999999675E+35</v>
      </c>
      <c r="T427" s="1">
        <f t="shared" si="91"/>
        <v>5.8805739720000008E+35</v>
      </c>
      <c r="U427" s="1">
        <f t="shared" si="91"/>
        <v>1.7625687618248541E-11</v>
      </c>
      <c r="V427" s="11">
        <f t="shared" si="91"/>
        <v>5.4983873394022617E+56</v>
      </c>
      <c r="W427" s="7">
        <f t="shared" si="91"/>
        <v>2.5519512781667604E+57</v>
      </c>
      <c r="X427" s="4">
        <f t="shared" si="91"/>
        <v>19314.190324080075</v>
      </c>
      <c r="Y427" s="5">
        <f t="shared" si="91"/>
        <v>22153.15060740172</v>
      </c>
      <c r="Z427" s="5">
        <f t="shared" ref="Z427:AA427" si="92">SUM(Z2:Z425)</f>
        <v>0</v>
      </c>
      <c r="AA427" s="5">
        <f t="shared" si="92"/>
        <v>785088.02481958945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BHAC15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Emilly</dc:creator>
  <cp:lastModifiedBy>Emilly</cp:lastModifiedBy>
  <dcterms:created xsi:type="dcterms:W3CDTF">2023-02-27T20:26:47Z</dcterms:created>
  <dcterms:modified xsi:type="dcterms:W3CDTF">2023-03-17T12:06:33Z</dcterms:modified>
</cp:coreProperties>
</file>